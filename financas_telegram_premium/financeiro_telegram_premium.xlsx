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mites" sheetId="2" state="visible" r:id="rId2"/>
    <sheet xmlns:r="http://schemas.openxmlformats.org/officeDocument/2006/relationships" name="Contas_Fixas" sheetId="3" state="visible" r:id="rId3"/>
    <sheet xmlns:r="http://schemas.openxmlformats.org/officeDocument/2006/relationships" name="Lancamentos" sheetId="4" state="visible" r:id="rId4"/>
    <sheet xmlns:r="http://schemas.openxmlformats.org/officeDocument/2006/relationships" name="Resumo_Mensal" sheetId="5" state="visible" r:id="rId5"/>
    <sheet xmlns:r="http://schemas.openxmlformats.org/officeDocument/2006/relationships" name="Fluxo_Caixa" sheetId="6" state="visible" r:id="rId6"/>
    <sheet xmlns:r="http://schemas.openxmlformats.org/officeDocument/2006/relationships" name="Planejamento" sheetId="7" state="visible" r:id="rId7"/>
    <sheet xmlns:r="http://schemas.openxmlformats.org/officeDocument/2006/relationships" name="Comandos_Telegram" sheetId="8" state="visible" r:id="rId8"/>
    <sheet xmlns:r="http://schemas.openxmlformats.org/officeDocument/2006/relationships"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(R$ #,##0.00);-"/>
    <numFmt numFmtId="165" formatCode="0.0%"/>
    <numFmt numFmtId="166" formatCode="R$ #,##0.00"/>
    <numFmt numFmtId="167" formatCode="dd/mm/yyyy"/>
  </numFmts>
  <fonts count="9">
    <font>
      <name val="Calibri"/>
      <family val="2"/>
      <color theme="1"/>
      <sz val="11"/>
      <scheme val="minor"/>
    </font>
    <font>
      <b val="1"/>
      <color rgb="00EAF2FF"/>
      <sz val="24"/>
    </font>
    <font>
      <color rgb="00A9C0E6"/>
      <sz val="10"/>
    </font>
    <font>
      <b val="1"/>
      <color rgb="00EAF2FF"/>
      <sz val="14"/>
    </font>
    <font>
      <b val="1"/>
      <color rgb="00EAF2FF"/>
      <sz val="11"/>
    </font>
    <font>
      <b val="1"/>
      <color rgb="00C8FBFF"/>
    </font>
    <font>
      <color rgb="00EAF2FF"/>
      <sz val="10"/>
    </font>
    <font>
      <b val="1"/>
      <color rgb="0000B0F0"/>
    </font>
    <font>
      <b val="1"/>
      <color rgb="00D8B4FE"/>
    </font>
  </fonts>
  <fills count="8">
    <fill>
      <patternFill/>
    </fill>
    <fill>
      <patternFill patternType="gray125"/>
    </fill>
    <fill>
      <patternFill patternType="solid">
        <fgColor rgb="000E1C33"/>
      </patternFill>
    </fill>
    <fill>
      <patternFill patternType="solid">
        <fgColor rgb="000F3340"/>
      </patternFill>
    </fill>
    <fill>
      <patternFill patternType="solid">
        <fgColor rgb="002A1455"/>
      </patternFill>
    </fill>
    <fill>
      <patternFill patternType="solid">
        <fgColor rgb="004A3108"/>
      </patternFill>
    </fill>
    <fill>
      <patternFill patternType="solid">
        <fgColor rgb="00113824"/>
      </patternFill>
    </fill>
    <fill>
      <patternFill patternType="solid">
        <fgColor rgb="000C1830"/>
      </patternFill>
    </fill>
  </fills>
  <borders count="10">
    <border>
      <left/>
      <right/>
      <top/>
      <bottom/>
      <diagonal/>
    </border>
    <border>
      <left style="thin">
        <color rgb="00214A57"/>
      </left>
      <right style="thin">
        <color rgb="00214A57"/>
      </right>
      <top style="thin">
        <color rgb="00214A57"/>
      </top>
      <bottom style="thin">
        <color rgb="00214A57"/>
      </bottom>
    </border>
    <border>
      <left/>
      <right/>
      <top style="thin">
        <color rgb="00214A57"/>
      </top>
      <bottom/>
      <diagonal/>
    </border>
    <border>
      <left/>
      <right style="thin">
        <color rgb="00214A57"/>
      </right>
      <top style="thin">
        <color rgb="00214A57"/>
      </top>
      <bottom/>
      <diagonal/>
    </border>
    <border>
      <left/>
      <right/>
      <top style="thin">
        <color rgb="00214A57"/>
      </top>
      <bottom style="thin">
        <color rgb="00214A57"/>
      </bottom>
      <diagonal/>
    </border>
    <border>
      <left/>
      <right style="thin">
        <color rgb="00214A57"/>
      </right>
      <top style="thin">
        <color rgb="00214A57"/>
      </top>
      <bottom style="thin">
        <color rgb="00214A57"/>
      </bottom>
      <diagonal/>
    </border>
    <border>
      <left style="thin">
        <color rgb="00214A57"/>
      </left>
      <right/>
      <top/>
      <bottom/>
      <diagonal/>
    </border>
    <border>
      <left/>
      <right style="thin">
        <color rgb="00214A57"/>
      </right>
      <top/>
      <bottom/>
      <diagonal/>
    </border>
    <border>
      <left style="thin">
        <color rgb="00214A57"/>
      </left>
      <right/>
      <top/>
      <bottom style="thin">
        <color rgb="00214A57"/>
      </bottom>
      <diagonal/>
    </border>
    <border>
      <left/>
      <right style="thin">
        <color rgb="00214A57"/>
      </right>
      <top/>
      <bottom style="thin">
        <color rgb="00214A57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7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3" borderId="1" pivotButton="0" quotePrefix="0" xfId="0"/>
    <xf numFmtId="0" fontId="6" fillId="3" borderId="1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2" borderId="1" pivotButton="0" quotePrefix="0" xfId="0"/>
    <xf numFmtId="0" fontId="6" fillId="0" borderId="1" pivotButton="0" quotePrefix="0" xfId="0"/>
    <xf numFmtId="166" fontId="7" fillId="0" borderId="1" pivotButton="0" quotePrefix="0" xfId="0"/>
    <xf numFmtId="0" fontId="2" fillId="0" borderId="1" pivotButton="0" quotePrefix="0" xfId="0"/>
    <xf numFmtId="0" fontId="8" fillId="0" borderId="1" pivotButton="0" quotePrefix="0" xfId="0"/>
    <xf numFmtId="166" fontId="4" fillId="7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6" fontId="0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164" fontId="4" fillId="7" borderId="1" pivotButton="0" quotePrefix="0" xfId="0"/>
    <xf numFmtId="165" fontId="4" fillId="7" borderId="1" pivotButton="0" quotePrefix="0" xfId="0"/>
    <xf numFmtId="164" fontId="7" fillId="4" borderId="1" pivotButton="0" quotePrefix="0" xfId="0"/>
    <xf numFmtId="164" fontId="7" fillId="6" borderId="1" pivotButton="0" quotePrefix="0" xfId="0"/>
    <xf numFmtId="1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167" fontId="0" fillId="0" borderId="1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Limites" displayName="tblLimites" ref="A3:E13" headerRowCount="1">
  <autoFilter ref="A3:E13"/>
  <tableColumns count="5">
    <tableColumn id="1" name="Categoria"/>
    <tableColumn id="2" name="Limite Mensal"/>
    <tableColumn id="3" name="Tipo"/>
    <tableColumn id="4" name="Observação"/>
    <tableColumn id="5" name="Priorida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Contas" displayName="tblContas" ref="A3:H8" headerRowCount="1">
  <autoFilter ref="A3:H8"/>
  <tableColumns count="8">
    <tableColumn id="1" name="Conta"/>
    <tableColumn id="2" name="Categoria"/>
    <tableColumn id="3" name="Valor"/>
    <tableColumn id="4" name="Frequência"/>
    <tableColumn id="5" name="Dia Venc."/>
    <tableColumn id="6" name="Tipo"/>
    <tableColumn id="7" name="Ativa?"/>
    <tableColumn id="8" name="Observação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CONTROLE FINANCEIRO PREMIUM • TELEGRAM</t>
        </is>
      </c>
    </row>
    <row r="2">
      <c r="A2" s="3" t="inlineStr">
        <is>
          <t>Painel principal com orçamento mensal, contas, metas e acompanhamento em tempo real.</t>
        </is>
      </c>
    </row>
    <row r="4">
      <c r="A4" s="4" t="inlineStr">
        <is>
          <t>Mês
=Resumo_Mensal!B3</t>
        </is>
      </c>
      <c r="B4" s="39" t="n"/>
      <c r="C4" s="6" t="inlineStr">
        <is>
          <t>Renda líquida base
=Config!B6</t>
        </is>
      </c>
      <c r="D4" s="39" t="n"/>
      <c r="E4" s="8" t="inlineStr">
        <is>
          <t>Gasto do mês
=Resumo_Mensal!C17</t>
        </is>
      </c>
      <c r="F4" s="39" t="n"/>
      <c r="G4" s="10" t="inlineStr">
        <is>
          <t>Saldo do orçamento
=Resumo_Mensal!D17</t>
        </is>
      </c>
      <c r="H4" s="39" t="n"/>
    </row>
    <row r="5">
      <c r="A5" s="40" t="n"/>
      <c r="B5" s="41" t="n"/>
      <c r="C5" s="40" t="n"/>
      <c r="D5" s="41" t="n"/>
      <c r="E5" s="40" t="n"/>
      <c r="F5" s="41" t="n"/>
      <c r="G5" s="40" t="n"/>
      <c r="H5" s="41" t="n"/>
    </row>
    <row r="8">
      <c r="A8" s="12" t="inlineStr">
        <is>
          <t>Categoria</t>
        </is>
      </c>
      <c r="B8" s="12" t="inlineStr">
        <is>
          <t>Limite</t>
        </is>
      </c>
      <c r="C8" s="12" t="inlineStr">
        <is>
          <t>Gasto</t>
        </is>
      </c>
      <c r="D8" s="12" t="inlineStr">
        <is>
          <t>Saldo</t>
        </is>
      </c>
      <c r="E8" s="12" t="inlineStr">
        <is>
          <t>% Uso</t>
        </is>
      </c>
      <c r="F8" s="12" t="inlineStr">
        <is>
          <t>Status</t>
        </is>
      </c>
      <c r="G8" s="12" t="inlineStr">
        <is>
          <t>Prioridade</t>
        </is>
      </c>
      <c r="H8" s="12" t="inlineStr">
        <is>
          <t>Observação</t>
        </is>
      </c>
    </row>
    <row r="9">
      <c r="A9" s="13">
        <f>Resumo_Mensal!A6</f>
        <v/>
      </c>
      <c r="B9" s="14">
        <f>Resumo_Mensal!B6</f>
        <v/>
      </c>
      <c r="C9" s="14">
        <f>Resumo_Mensal!C6</f>
        <v/>
      </c>
      <c r="D9" s="14">
        <f>Resumo_Mensal!D6</f>
        <v/>
      </c>
      <c r="E9" s="15">
        <f>Resumo_Mensal!E6</f>
        <v/>
      </c>
      <c r="F9" s="13">
        <f>Resumo_Mensal!F6</f>
        <v/>
      </c>
      <c r="G9" s="13">
        <f>XLOOKUP(A9,Limites!A4:A13,Limites!E4:E13,"")</f>
        <v/>
      </c>
      <c r="H9" s="13">
        <f>XLOOKUP(A9,Limites!A4:A13,Limites!D4:D13,"")</f>
        <v/>
      </c>
    </row>
    <row r="10">
      <c r="A10" s="13">
        <f>Resumo_Mensal!A7</f>
        <v/>
      </c>
      <c r="B10" s="14">
        <f>Resumo_Mensal!B7</f>
        <v/>
      </c>
      <c r="C10" s="14">
        <f>Resumo_Mensal!C7</f>
        <v/>
      </c>
      <c r="D10" s="14">
        <f>Resumo_Mensal!D7</f>
        <v/>
      </c>
      <c r="E10" s="15">
        <f>Resumo_Mensal!E7</f>
        <v/>
      </c>
      <c r="F10" s="13">
        <f>Resumo_Mensal!F7</f>
        <v/>
      </c>
      <c r="G10" s="13">
        <f>XLOOKUP(A10,Limites!A4:A13,Limites!E4:E13,"")</f>
        <v/>
      </c>
      <c r="H10" s="13">
        <f>XLOOKUP(A10,Limites!A4:A13,Limites!D4:D13,"")</f>
        <v/>
      </c>
    </row>
    <row r="11">
      <c r="A11" s="13">
        <f>Resumo_Mensal!A8</f>
        <v/>
      </c>
      <c r="B11" s="14">
        <f>Resumo_Mensal!B8</f>
        <v/>
      </c>
      <c r="C11" s="14">
        <f>Resumo_Mensal!C8</f>
        <v/>
      </c>
      <c r="D11" s="14">
        <f>Resumo_Mensal!D8</f>
        <v/>
      </c>
      <c r="E11" s="15">
        <f>Resumo_Mensal!E8</f>
        <v/>
      </c>
      <c r="F11" s="13">
        <f>Resumo_Mensal!F8</f>
        <v/>
      </c>
      <c r="G11" s="13">
        <f>XLOOKUP(A11,Limites!A4:A13,Limites!E4:E13,"")</f>
        <v/>
      </c>
      <c r="H11" s="13">
        <f>XLOOKUP(A11,Limites!A4:A13,Limites!D4:D13,"")</f>
        <v/>
      </c>
    </row>
    <row r="12">
      <c r="A12" s="13">
        <f>Resumo_Mensal!A9</f>
        <v/>
      </c>
      <c r="B12" s="14">
        <f>Resumo_Mensal!B9</f>
        <v/>
      </c>
      <c r="C12" s="14">
        <f>Resumo_Mensal!C9</f>
        <v/>
      </c>
      <c r="D12" s="14">
        <f>Resumo_Mensal!D9</f>
        <v/>
      </c>
      <c r="E12" s="15">
        <f>Resumo_Mensal!E9</f>
        <v/>
      </c>
      <c r="F12" s="13">
        <f>Resumo_Mensal!F9</f>
        <v/>
      </c>
      <c r="G12" s="13">
        <f>XLOOKUP(A12,Limites!A4:A13,Limites!E4:E13,"")</f>
        <v/>
      </c>
      <c r="H12" s="13">
        <f>XLOOKUP(A12,Limites!A4:A13,Limites!D4:D13,"")</f>
        <v/>
      </c>
    </row>
    <row r="13">
      <c r="A13" s="13">
        <f>Resumo_Mensal!A10</f>
        <v/>
      </c>
      <c r="B13" s="14">
        <f>Resumo_Mensal!B10</f>
        <v/>
      </c>
      <c r="C13" s="14">
        <f>Resumo_Mensal!C10</f>
        <v/>
      </c>
      <c r="D13" s="14">
        <f>Resumo_Mensal!D10</f>
        <v/>
      </c>
      <c r="E13" s="15">
        <f>Resumo_Mensal!E10</f>
        <v/>
      </c>
      <c r="F13" s="13">
        <f>Resumo_Mensal!F10</f>
        <v/>
      </c>
      <c r="G13" s="13">
        <f>XLOOKUP(A13,Limites!A4:A13,Limites!E4:E13,"")</f>
        <v/>
      </c>
      <c r="H13" s="13">
        <f>XLOOKUP(A13,Limites!A4:A13,Limites!D4:D13,"")</f>
        <v/>
      </c>
    </row>
    <row r="14">
      <c r="A14" s="13">
        <f>Resumo_Mensal!A11</f>
        <v/>
      </c>
      <c r="B14" s="14">
        <f>Resumo_Mensal!B11</f>
        <v/>
      </c>
      <c r="C14" s="14">
        <f>Resumo_Mensal!C11</f>
        <v/>
      </c>
      <c r="D14" s="14">
        <f>Resumo_Mensal!D11</f>
        <v/>
      </c>
      <c r="E14" s="15">
        <f>Resumo_Mensal!E11</f>
        <v/>
      </c>
      <c r="F14" s="13">
        <f>Resumo_Mensal!F11</f>
        <v/>
      </c>
      <c r="G14" s="13">
        <f>XLOOKUP(A14,Limites!A4:A13,Limites!E4:E13,"")</f>
        <v/>
      </c>
      <c r="H14" s="13">
        <f>XLOOKUP(A14,Limites!A4:A13,Limites!D4:D13,"")</f>
        <v/>
      </c>
    </row>
    <row r="15">
      <c r="A15" s="13">
        <f>Resumo_Mensal!A12</f>
        <v/>
      </c>
      <c r="B15" s="14">
        <f>Resumo_Mensal!B12</f>
        <v/>
      </c>
      <c r="C15" s="14">
        <f>Resumo_Mensal!C12</f>
        <v/>
      </c>
      <c r="D15" s="14">
        <f>Resumo_Mensal!D12</f>
        <v/>
      </c>
      <c r="E15" s="15">
        <f>Resumo_Mensal!E12</f>
        <v/>
      </c>
      <c r="F15" s="13">
        <f>Resumo_Mensal!F12</f>
        <v/>
      </c>
      <c r="G15" s="13">
        <f>XLOOKUP(A15,Limites!A4:A13,Limites!E4:E13,"")</f>
        <v/>
      </c>
      <c r="H15" s="13">
        <f>XLOOKUP(A15,Limites!A4:A13,Limites!D4:D13,"")</f>
        <v/>
      </c>
    </row>
    <row r="16">
      <c r="A16" s="13">
        <f>Resumo_Mensal!A13</f>
        <v/>
      </c>
      <c r="B16" s="14">
        <f>Resumo_Mensal!B13</f>
        <v/>
      </c>
      <c r="C16" s="14">
        <f>Resumo_Mensal!C13</f>
        <v/>
      </c>
      <c r="D16" s="14">
        <f>Resumo_Mensal!D13</f>
        <v/>
      </c>
      <c r="E16" s="15">
        <f>Resumo_Mensal!E13</f>
        <v/>
      </c>
      <c r="F16" s="13">
        <f>Resumo_Mensal!F13</f>
        <v/>
      </c>
      <c r="G16" s="13">
        <f>XLOOKUP(A16,Limites!A4:A13,Limites!E4:E13,"")</f>
        <v/>
      </c>
      <c r="H16" s="13">
        <f>XLOOKUP(A16,Limites!A4:A13,Limites!D4:D13,"")</f>
        <v/>
      </c>
    </row>
    <row r="17">
      <c r="A17" s="13">
        <f>Resumo_Mensal!A14</f>
        <v/>
      </c>
      <c r="B17" s="14">
        <f>Resumo_Mensal!B14</f>
        <v/>
      </c>
      <c r="C17" s="14">
        <f>Resumo_Mensal!C14</f>
        <v/>
      </c>
      <c r="D17" s="14">
        <f>Resumo_Mensal!D14</f>
        <v/>
      </c>
      <c r="E17" s="15">
        <f>Resumo_Mensal!E14</f>
        <v/>
      </c>
      <c r="F17" s="13">
        <f>Resumo_Mensal!F14</f>
        <v/>
      </c>
      <c r="G17" s="13">
        <f>XLOOKUP(A17,Limites!A4:A13,Limites!E4:E13,"")</f>
        <v/>
      </c>
      <c r="H17" s="13">
        <f>XLOOKUP(A17,Limites!A4:A13,Limites!D4:D13,"")</f>
        <v/>
      </c>
    </row>
    <row r="18">
      <c r="A18" s="13">
        <f>Resumo_Mensal!A15</f>
        <v/>
      </c>
      <c r="B18" s="14">
        <f>Resumo_Mensal!B15</f>
        <v/>
      </c>
      <c r="C18" s="14">
        <f>Resumo_Mensal!C15</f>
        <v/>
      </c>
      <c r="D18" s="14">
        <f>Resumo_Mensal!D15</f>
        <v/>
      </c>
      <c r="E18" s="15">
        <f>Resumo_Mensal!E15</f>
        <v/>
      </c>
      <c r="F18" s="13">
        <f>Resumo_Mensal!F15</f>
        <v/>
      </c>
      <c r="G18" s="13">
        <f>XLOOKUP(A18,Limites!A4:A13,Limites!E4:E13,"")</f>
        <v/>
      </c>
      <c r="H18" s="13">
        <f>XLOOKUP(A18,Limites!A4:A13,Limites!D4:D13,"")</f>
        <v/>
      </c>
    </row>
    <row r="21">
      <c r="A21" s="16" t="inlineStr">
        <is>
          <t>Atalhos do Telegram</t>
        </is>
      </c>
    </row>
    <row r="22">
      <c r="A22" s="18" t="inlineStr">
        <is>
          <t>/gasto gasolina 120 shell</t>
        </is>
      </c>
      <c r="B22" s="42" t="n"/>
      <c r="C22" s="43" t="n"/>
      <c r="D22" s="19" t="inlineStr">
        <is>
          <t>Lança um gasto e responde com saldo da categoria</t>
        </is>
      </c>
      <c r="E22" s="42" t="n"/>
      <c r="F22" s="42" t="n"/>
      <c r="G22" s="42" t="n"/>
      <c r="H22" s="43" t="n"/>
    </row>
    <row r="23">
      <c r="A23" s="20" t="inlineStr">
        <is>
          <t>/status</t>
        </is>
      </c>
      <c r="B23" s="42" t="n"/>
      <c r="C23" s="43" t="n"/>
      <c r="D23" s="22" t="inlineStr">
        <is>
          <t>Mostra o painel do mês</t>
        </is>
      </c>
      <c r="E23" s="42" t="n"/>
      <c r="F23" s="42" t="n"/>
      <c r="G23" s="42" t="n"/>
      <c r="H23" s="43" t="n"/>
    </row>
    <row r="24">
      <c r="A24" s="18" t="inlineStr">
        <is>
          <t>/status carro</t>
        </is>
      </c>
      <c r="B24" s="42" t="n"/>
      <c r="C24" s="43" t="n"/>
      <c r="D24" s="19" t="inlineStr">
        <is>
          <t>Mostra só a categoria desejada</t>
        </is>
      </c>
      <c r="E24" s="42" t="n"/>
      <c r="F24" s="42" t="n"/>
      <c r="G24" s="42" t="n"/>
      <c r="H24" s="43" t="n"/>
    </row>
    <row r="25">
      <c r="A25" s="20" t="inlineStr">
        <is>
          <t>/contas</t>
        </is>
      </c>
      <c r="B25" s="42" t="n"/>
      <c r="C25" s="43" t="n"/>
      <c r="D25" s="22" t="inlineStr">
        <is>
          <t>Lista contas próximas do vencimento</t>
        </is>
      </c>
      <c r="E25" s="42" t="n"/>
      <c r="F25" s="42" t="n"/>
      <c r="G25" s="42" t="n"/>
      <c r="H25" s="43" t="n"/>
    </row>
    <row r="26">
      <c r="A26" s="18" t="inlineStr">
        <is>
          <t>/pagar internet e celular</t>
        </is>
      </c>
      <c r="B26" s="42" t="n"/>
      <c r="C26" s="43" t="n"/>
      <c r="D26" s="19" t="inlineStr">
        <is>
          <t>Marca a conta como paga</t>
        </is>
      </c>
      <c r="E26" s="42" t="n"/>
      <c r="F26" s="42" t="n"/>
      <c r="G26" s="42" t="n"/>
      <c r="H26" s="43" t="n"/>
    </row>
    <row r="27">
      <c r="A27" s="20" t="inlineStr">
        <is>
          <t>gasolina 80</t>
        </is>
      </c>
      <c r="B27" s="42" t="n"/>
      <c r="C27" s="43" t="n"/>
      <c r="D27" s="22" t="inlineStr">
        <is>
          <t>Também aceita mensagem simples sem barra</t>
        </is>
      </c>
      <c r="E27" s="42" t="n"/>
      <c r="F27" s="42" t="n"/>
      <c r="G27" s="42" t="n"/>
      <c r="H27" s="43" t="n"/>
    </row>
  </sheetData>
  <mergeCells count="19">
    <mergeCell ref="A25:C25"/>
    <mergeCell ref="A27:C27"/>
    <mergeCell ref="A1:H1"/>
    <mergeCell ref="D22:H22"/>
    <mergeCell ref="A26:C26"/>
    <mergeCell ref="A4:B5"/>
    <mergeCell ref="G4:H5"/>
    <mergeCell ref="A23:C23"/>
    <mergeCell ref="A22:C22"/>
    <mergeCell ref="D27:H27"/>
    <mergeCell ref="A21:H21"/>
    <mergeCell ref="A2:H2"/>
    <mergeCell ref="A24:C24"/>
    <mergeCell ref="C4:D5"/>
    <mergeCell ref="D25:H25"/>
    <mergeCell ref="E4:F5"/>
    <mergeCell ref="D24:H24"/>
    <mergeCell ref="D23:H23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2" customWidth="1" min="4" max="4"/>
    <col width="16" customWidth="1" min="5" max="5"/>
  </cols>
  <sheetData>
    <row r="1">
      <c r="A1" s="1" t="inlineStr">
        <is>
          <t>ORÇAMENTO MENSAL BASE</t>
        </is>
      </c>
    </row>
    <row r="3">
      <c r="A3" s="12" t="inlineStr">
        <is>
          <t>Categoria</t>
        </is>
      </c>
      <c r="B3" s="12" t="inlineStr">
        <is>
          <t>Limite Mensal</t>
        </is>
      </c>
      <c r="C3" s="12" t="inlineStr">
        <is>
          <t>Tipo</t>
        </is>
      </c>
      <c r="D3" s="12" t="inlineStr">
        <is>
          <t>Observação</t>
        </is>
      </c>
      <c r="E3" s="12" t="inlineStr">
        <is>
          <t>Prioridade</t>
        </is>
      </c>
    </row>
    <row r="4">
      <c r="A4" s="23" t="inlineStr">
        <is>
          <t>Moradia</t>
        </is>
      </c>
      <c r="B4" s="24" t="n">
        <v>1700</v>
      </c>
      <c r="C4" s="25" t="inlineStr">
        <is>
          <t>Fixo</t>
        </is>
      </c>
      <c r="D4" s="23" t="inlineStr">
        <is>
          <t>Prestação da casa</t>
        </is>
      </c>
      <c r="E4" s="26" t="inlineStr">
        <is>
          <t>Essencial</t>
        </is>
      </c>
    </row>
    <row r="5">
      <c r="A5" s="23" t="inlineStr">
        <is>
          <t>Carro</t>
        </is>
      </c>
      <c r="B5" s="24" t="n">
        <v>1400</v>
      </c>
      <c r="C5" s="25" t="inlineStr">
        <is>
          <t>Fixo</t>
        </is>
      </c>
      <c r="D5" s="23" t="inlineStr">
        <is>
          <t>Prestação do carro</t>
        </is>
      </c>
      <c r="E5" s="26" t="inlineStr">
        <is>
          <t>Essencial</t>
        </is>
      </c>
    </row>
    <row r="6">
      <c r="A6" s="23" t="inlineStr">
        <is>
          <t>Internet e Celular</t>
        </is>
      </c>
      <c r="B6" s="24" t="n">
        <v>212</v>
      </c>
      <c r="C6" s="25" t="inlineStr">
        <is>
          <t>Fixo</t>
        </is>
      </c>
      <c r="D6" s="23" t="inlineStr">
        <is>
          <t>Plano mensal de conectividade</t>
        </is>
      </c>
      <c r="E6" s="26" t="inlineStr">
        <is>
          <t>Essencial</t>
        </is>
      </c>
    </row>
    <row r="7">
      <c r="A7" s="23" t="inlineStr">
        <is>
          <t>Luz e Streaming</t>
        </is>
      </c>
      <c r="B7" s="24" t="n">
        <v>150</v>
      </c>
      <c r="C7" s="25" t="inlineStr">
        <is>
          <t>Fixo</t>
        </is>
      </c>
      <c r="D7" s="23" t="inlineStr">
        <is>
          <t>Energia + plataformas</t>
        </is>
      </c>
      <c r="E7" s="26" t="inlineStr">
        <is>
          <t>Essencial</t>
        </is>
      </c>
    </row>
    <row r="8">
      <c r="A8" s="23" t="inlineStr">
        <is>
          <t>Pet</t>
        </is>
      </c>
      <c r="B8" s="24" t="n">
        <v>93.33</v>
      </c>
      <c r="C8" s="25" t="inlineStr">
        <is>
          <t>Provisão</t>
        </is>
      </c>
      <c r="D8" s="23" t="inlineStr">
        <is>
          <t>Ração trimestral rateada por mês</t>
        </is>
      </c>
      <c r="E8" s="26" t="inlineStr">
        <is>
          <t>Essencial</t>
        </is>
      </c>
    </row>
    <row r="9">
      <c r="A9" s="23" t="inlineStr">
        <is>
          <t>Combustível</t>
        </is>
      </c>
      <c r="B9" s="24" t="n">
        <v>350</v>
      </c>
      <c r="C9" s="25" t="inlineStr">
        <is>
          <t>Variável</t>
        </is>
      </c>
      <c r="D9" s="23" t="inlineStr">
        <is>
          <t>Deslocamentos do mês</t>
        </is>
      </c>
      <c r="E9" s="26" t="inlineStr">
        <is>
          <t>Importante</t>
        </is>
      </c>
    </row>
    <row r="10">
      <c r="A10" s="23" t="inlineStr">
        <is>
          <t>Lazer</t>
        </is>
      </c>
      <c r="B10" s="24" t="n">
        <v>150</v>
      </c>
      <c r="C10" s="25" t="inlineStr">
        <is>
          <t>Variável</t>
        </is>
      </c>
      <c r="D10" s="23" t="inlineStr">
        <is>
          <t>Saídas e pequenas compras</t>
        </is>
      </c>
      <c r="E10" s="26" t="inlineStr">
        <is>
          <t>Controlável</t>
        </is>
      </c>
    </row>
    <row r="11">
      <c r="A11" s="23" t="inlineStr">
        <is>
          <t>Saúde e Farmácia</t>
        </is>
      </c>
      <c r="B11" s="24" t="n">
        <v>100</v>
      </c>
      <c r="C11" s="25" t="inlineStr">
        <is>
          <t>Variável</t>
        </is>
      </c>
      <c r="D11" s="23" t="inlineStr">
        <is>
          <t>Remédios e emergências leves</t>
        </is>
      </c>
      <c r="E11" s="26" t="inlineStr">
        <is>
          <t>Importante</t>
        </is>
      </c>
    </row>
    <row r="12">
      <c r="A12" s="23" t="inlineStr">
        <is>
          <t>Imprevistos</t>
        </is>
      </c>
      <c r="B12" s="24" t="n">
        <v>144.67</v>
      </c>
      <c r="C12" s="25" t="inlineStr">
        <is>
          <t>Variável</t>
        </is>
      </c>
      <c r="D12" s="23" t="inlineStr">
        <is>
          <t>Margem para ajustes do mês</t>
        </is>
      </c>
      <c r="E12" s="26" t="inlineStr">
        <is>
          <t>Importante</t>
        </is>
      </c>
    </row>
    <row r="13">
      <c r="A13" s="23" t="inlineStr">
        <is>
          <t>Reserva de Emergência</t>
        </is>
      </c>
      <c r="B13" s="24" t="n">
        <v>1000</v>
      </c>
      <c r="C13" s="25" t="inlineStr">
        <is>
          <t>Meta</t>
        </is>
      </c>
      <c r="D13" s="23" t="inlineStr">
        <is>
          <t>Transferir para reserva mensal</t>
        </is>
      </c>
      <c r="E13" s="26" t="inlineStr">
        <is>
          <t>Estratégico</t>
        </is>
      </c>
    </row>
    <row r="15">
      <c r="A15" s="12" t="inlineStr">
        <is>
          <t>Total planejado</t>
        </is>
      </c>
      <c r="B15" s="27">
        <f>SUM(B4:B13)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0" customWidth="1" min="7" max="7"/>
    <col width="38" customWidth="1" min="8" max="8"/>
  </cols>
  <sheetData>
    <row r="1">
      <c r="A1" s="1" t="inlineStr">
        <is>
          <t>CONTAS FIXAS E COBRANÇAS</t>
        </is>
      </c>
    </row>
    <row r="3">
      <c r="A3" s="12" t="inlineStr">
        <is>
          <t>Conta</t>
        </is>
      </c>
      <c r="B3" s="12" t="inlineStr">
        <is>
          <t>Categoria</t>
        </is>
      </c>
      <c r="C3" s="12" t="inlineStr">
        <is>
          <t>Valor</t>
        </is>
      </c>
      <c r="D3" s="12" t="inlineStr">
        <is>
          <t>Frequência</t>
        </is>
      </c>
      <c r="E3" s="12" t="inlineStr">
        <is>
          <t>Dia Venc.</t>
        </is>
      </c>
      <c r="F3" s="12" t="inlineStr">
        <is>
          <t>Tipo</t>
        </is>
      </c>
      <c r="G3" s="12" t="inlineStr">
        <is>
          <t>Ativa?</t>
        </is>
      </c>
      <c r="H3" s="12" t="inlineStr">
        <is>
          <t>Observação</t>
        </is>
      </c>
    </row>
    <row r="4">
      <c r="A4" s="13" t="inlineStr">
        <is>
          <t>Casa</t>
        </is>
      </c>
      <c r="B4" s="13" t="inlineStr">
        <is>
          <t>Moradia</t>
        </is>
      </c>
      <c r="C4" s="28" t="n">
        <v>1700</v>
      </c>
      <c r="D4" s="13" t="inlineStr">
        <is>
          <t>Mensal</t>
        </is>
      </c>
      <c r="E4" s="13" t="n">
        <v>5</v>
      </c>
      <c r="F4" s="13" t="inlineStr">
        <is>
          <t>Obrigatória</t>
        </is>
      </c>
      <c r="G4" s="13" t="inlineStr">
        <is>
          <t>Sim</t>
        </is>
      </c>
      <c r="H4" s="13" t="inlineStr">
        <is>
          <t>Ajuste o vencimento real se necessário.</t>
        </is>
      </c>
    </row>
    <row r="5">
      <c r="A5" s="13" t="inlineStr">
        <is>
          <t>Carro</t>
        </is>
      </c>
      <c r="B5" s="13" t="inlineStr">
        <is>
          <t>Carro</t>
        </is>
      </c>
      <c r="C5" s="28" t="n">
        <v>1400</v>
      </c>
      <c r="D5" s="13" t="inlineStr">
        <is>
          <t>Mensal</t>
        </is>
      </c>
      <c r="E5" s="13" t="n">
        <v>10</v>
      </c>
      <c r="F5" s="13" t="inlineStr">
        <is>
          <t>Obrigatória</t>
        </is>
      </c>
      <c r="G5" s="13" t="inlineStr">
        <is>
          <t>Sim</t>
        </is>
      </c>
      <c r="H5" s="13" t="inlineStr">
        <is>
          <t>57 parcelas restantes.</t>
        </is>
      </c>
    </row>
    <row r="6">
      <c r="A6" s="13" t="inlineStr">
        <is>
          <t>Internet + Celular</t>
        </is>
      </c>
      <c r="B6" s="13" t="inlineStr">
        <is>
          <t>Internet e Celular</t>
        </is>
      </c>
      <c r="C6" s="28" t="n">
        <v>212</v>
      </c>
      <c r="D6" s="13" t="inlineStr">
        <is>
          <t>Mensal</t>
        </is>
      </c>
      <c r="E6" s="13" t="n">
        <v>12</v>
      </c>
      <c r="F6" s="13" t="inlineStr">
        <is>
          <t>Obrigatória</t>
        </is>
      </c>
      <c r="G6" s="13" t="inlineStr">
        <is>
          <t>Sim</t>
        </is>
      </c>
      <c r="H6" s="13" t="inlineStr">
        <is>
          <t>Conta conjunta de conectividade.</t>
        </is>
      </c>
    </row>
    <row r="7">
      <c r="A7" s="13" t="inlineStr">
        <is>
          <t>Luz + Streaming</t>
        </is>
      </c>
      <c r="B7" s="13" t="inlineStr">
        <is>
          <t>Luz e Streaming</t>
        </is>
      </c>
      <c r="C7" s="28" t="n">
        <v>150</v>
      </c>
      <c r="D7" s="13" t="inlineStr">
        <is>
          <t>Mensal</t>
        </is>
      </c>
      <c r="E7" s="13" t="n">
        <v>20</v>
      </c>
      <c r="F7" s="13" t="inlineStr">
        <is>
          <t>Obrigatória</t>
        </is>
      </c>
      <c r="G7" s="13" t="inlineStr">
        <is>
          <t>Sim</t>
        </is>
      </c>
      <c r="H7" s="13" t="inlineStr">
        <is>
          <t>Pode separar em duas contas se quiser.</t>
        </is>
      </c>
    </row>
    <row r="8">
      <c r="A8" s="13" t="inlineStr">
        <is>
          <t>Ração Cachorrinha</t>
        </is>
      </c>
      <c r="B8" s="13" t="inlineStr">
        <is>
          <t>Pet</t>
        </is>
      </c>
      <c r="C8" s="28" t="n">
        <v>280</v>
      </c>
      <c r="D8" s="13" t="inlineStr">
        <is>
          <t>Trimestral</t>
        </is>
      </c>
      <c r="E8" s="13" t="n">
        <v>25</v>
      </c>
      <c r="F8" s="13" t="inlineStr">
        <is>
          <t>Obrigatória</t>
        </is>
      </c>
      <c r="G8" s="13" t="inlineStr">
        <is>
          <t>Sim</t>
        </is>
      </c>
      <c r="H8" s="13" t="inlineStr">
        <is>
          <t>Compra a cada 3 meses.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8" customWidth="1" min="4" max="4"/>
    <col width="12" customWidth="1" min="5" max="5"/>
    <col width="34" customWidth="1" min="6" max="6"/>
    <col width="14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LANÇAMENTOS • TELEGRAM + WEB</t>
        </is>
      </c>
    </row>
    <row r="3">
      <c r="A3" s="12" t="inlineStr">
        <is>
          <t>Data</t>
        </is>
      </c>
      <c r="B3" s="12" t="inlineStr">
        <is>
          <t>Mês</t>
        </is>
      </c>
      <c r="C3" s="12" t="inlineStr">
        <is>
          <t>Categoria</t>
        </is>
      </c>
      <c r="D3" s="12" t="inlineStr">
        <is>
          <t>Subcategoria</t>
        </is>
      </c>
      <c r="E3" s="12" t="inlineStr">
        <is>
          <t>Tipo</t>
        </is>
      </c>
      <c r="F3" s="12" t="inlineStr">
        <is>
          <t>Descrição</t>
        </is>
      </c>
      <c r="G3" s="12" t="inlineStr">
        <is>
          <t>Valor</t>
        </is>
      </c>
      <c r="H3" s="12" t="inlineStr">
        <is>
          <t>Canal</t>
        </is>
      </c>
      <c r="I3" s="12" t="inlineStr">
        <is>
          <t>Status</t>
        </is>
      </c>
      <c r="J3" s="12" t="inlineStr">
        <is>
          <t>Observação</t>
        </is>
      </c>
    </row>
    <row r="4">
      <c r="A4" s="44" t="n">
        <v>46117</v>
      </c>
      <c r="B4" s="13">
        <f>TEXT(A4,"yyyy-mm")</f>
        <v/>
      </c>
      <c r="C4" s="13" t="inlineStr">
        <is>
          <t>Moradia</t>
        </is>
      </c>
      <c r="D4" s="13" t="inlineStr">
        <is>
          <t>Parcela</t>
        </is>
      </c>
      <c r="E4" s="13" t="inlineStr">
        <is>
          <t>gasto</t>
        </is>
      </c>
      <c r="F4" s="13" t="inlineStr">
        <is>
          <t>Prestação da casa</t>
        </is>
      </c>
      <c r="G4" s="28" t="n">
        <v>1700</v>
      </c>
      <c r="H4" s="13" t="inlineStr">
        <is>
          <t>sistema</t>
        </is>
      </c>
      <c r="I4" s="13" t="inlineStr">
        <is>
          <t>Pago</t>
        </is>
      </c>
      <c r="J4" s="13" t="inlineStr">
        <is>
          <t>Lançamento inicial</t>
        </is>
      </c>
    </row>
    <row r="5">
      <c r="A5" s="44" t="n">
        <v>46122</v>
      </c>
      <c r="B5" s="13">
        <f>TEXT(A5,"yyyy-mm")</f>
        <v/>
      </c>
      <c r="C5" s="13" t="inlineStr">
        <is>
          <t>Carro</t>
        </is>
      </c>
      <c r="D5" s="13" t="inlineStr">
        <is>
          <t>Parcela</t>
        </is>
      </c>
      <c r="E5" s="13" t="inlineStr">
        <is>
          <t>gasto</t>
        </is>
      </c>
      <c r="F5" s="13" t="inlineStr">
        <is>
          <t>Prestação do carro</t>
        </is>
      </c>
      <c r="G5" s="28" t="n">
        <v>1400</v>
      </c>
      <c r="H5" s="13" t="inlineStr">
        <is>
          <t>sistema</t>
        </is>
      </c>
      <c r="I5" s="13" t="inlineStr">
        <is>
          <t>Pago</t>
        </is>
      </c>
      <c r="J5" s="13" t="inlineStr">
        <is>
          <t>Lançamento inicial</t>
        </is>
      </c>
    </row>
    <row r="6">
      <c r="A6" s="44" t="n">
        <v>46124</v>
      </c>
      <c r="B6" s="13">
        <f>TEXT(A6,"yyyy-mm")</f>
        <v/>
      </c>
      <c r="C6" s="13" t="inlineStr">
        <is>
          <t>Internet e Celular</t>
        </is>
      </c>
      <c r="D6" s="13" t="inlineStr">
        <is>
          <t>Plano</t>
        </is>
      </c>
      <c r="E6" s="13" t="inlineStr">
        <is>
          <t>gasto</t>
        </is>
      </c>
      <c r="F6" s="13" t="inlineStr">
        <is>
          <t>Internet e celular</t>
        </is>
      </c>
      <c r="G6" s="28" t="n">
        <v>212</v>
      </c>
      <c r="H6" s="13" t="inlineStr">
        <is>
          <t>sistema</t>
        </is>
      </c>
      <c r="I6" s="13" t="inlineStr">
        <is>
          <t>Pago</t>
        </is>
      </c>
      <c r="J6" s="13" t="inlineStr">
        <is>
          <t>Lançamento inicial</t>
        </is>
      </c>
    </row>
    <row r="7">
      <c r="A7" s="44" t="n">
        <v>46132</v>
      </c>
      <c r="B7" s="13">
        <f>TEXT(A7,"yyyy-mm")</f>
        <v/>
      </c>
      <c r="C7" s="13" t="inlineStr">
        <is>
          <t>Luz e Streaming</t>
        </is>
      </c>
      <c r="D7" s="13" t="inlineStr">
        <is>
          <t>Mensal</t>
        </is>
      </c>
      <c r="E7" s="13" t="inlineStr">
        <is>
          <t>gasto</t>
        </is>
      </c>
      <c r="F7" s="13" t="inlineStr">
        <is>
          <t>Energia e plataformas</t>
        </is>
      </c>
      <c r="G7" s="28" t="n">
        <v>150</v>
      </c>
      <c r="H7" s="13" t="inlineStr">
        <is>
          <t>sistema</t>
        </is>
      </c>
      <c r="I7" s="13" t="inlineStr">
        <is>
          <t>Pago</t>
        </is>
      </c>
      <c r="J7" s="13" t="inlineStr">
        <is>
          <t>Lançamento inicial</t>
        </is>
      </c>
    </row>
    <row r="8">
      <c r="A8" s="45" t="n">
        <v>46129</v>
      </c>
      <c r="B8" t="inlineStr">
        <is>
          <t>2026-04</t>
        </is>
      </c>
      <c r="C8" t="inlineStr">
        <is>
          <t>Combustível</t>
        </is>
      </c>
      <c r="D8" t="inlineStr"/>
      <c r="E8" t="inlineStr">
        <is>
          <t>gasto</t>
        </is>
      </c>
      <c r="F8" t="inlineStr">
        <is>
          <t>shell</t>
        </is>
      </c>
      <c r="G8" s="31" t="n">
        <v>120</v>
      </c>
      <c r="H8" t="inlineStr">
        <is>
          <t>telegram</t>
        </is>
      </c>
      <c r="I8" t="inlineStr">
        <is>
          <t>Pago</t>
        </is>
      </c>
      <c r="J8" t="inlineStr"/>
    </row>
    <row r="9">
      <c r="A9" s="45" t="n"/>
      <c r="B9">
        <f>IF(A9="","",TEXT(A9,"yyyy-mm"))</f>
        <v/>
      </c>
      <c r="G9" s="31" t="n"/>
    </row>
    <row r="10">
      <c r="A10" s="45" t="n"/>
      <c r="B10">
        <f>IF(A10="","",TEXT(A10,"yyyy-mm"))</f>
        <v/>
      </c>
      <c r="G10" s="31" t="n"/>
    </row>
    <row r="11">
      <c r="A11" s="45" t="n"/>
      <c r="B11">
        <f>IF(A11="","",TEXT(A11,"yyyy-mm"))</f>
        <v/>
      </c>
      <c r="G11" s="31" t="n"/>
    </row>
    <row r="12">
      <c r="A12" s="45" t="n"/>
      <c r="B12">
        <f>IF(A12="","",TEXT(A12,"yyyy-mm"))</f>
        <v/>
      </c>
      <c r="G12" s="31" t="n"/>
    </row>
    <row r="13">
      <c r="A13" s="45" t="n"/>
      <c r="B13">
        <f>IF(A13="","",TEXT(A13,"yyyy-mm"))</f>
        <v/>
      </c>
      <c r="G13" s="31" t="n"/>
    </row>
    <row r="14">
      <c r="A14" s="45" t="n"/>
      <c r="B14">
        <f>IF(A14="","",TEXT(A14,"yyyy-mm"))</f>
        <v/>
      </c>
      <c r="G14" s="31" t="n"/>
    </row>
    <row r="15">
      <c r="A15" s="45" t="n"/>
      <c r="B15">
        <f>IF(A15="","",TEXT(A15,"yyyy-mm"))</f>
        <v/>
      </c>
      <c r="G15" s="31" t="n"/>
    </row>
    <row r="16">
      <c r="A16" s="45" t="n"/>
      <c r="B16">
        <f>IF(A16="","",TEXT(A16,"yyyy-mm"))</f>
        <v/>
      </c>
      <c r="G16" s="31" t="n"/>
    </row>
    <row r="17">
      <c r="A17" s="45" t="n"/>
      <c r="B17">
        <f>IF(A17="","",TEXT(A17,"yyyy-mm"))</f>
        <v/>
      </c>
      <c r="G17" s="31" t="n"/>
    </row>
    <row r="18">
      <c r="A18" s="45" t="n"/>
      <c r="B18">
        <f>IF(A18="","",TEXT(A18,"yyyy-mm"))</f>
        <v/>
      </c>
      <c r="G18" s="31" t="n"/>
    </row>
    <row r="19">
      <c r="A19" s="45" t="n"/>
      <c r="B19">
        <f>IF(A19="","",TEXT(A19,"yyyy-mm"))</f>
        <v/>
      </c>
      <c r="G19" s="31" t="n"/>
    </row>
    <row r="20">
      <c r="A20" s="45" t="n"/>
      <c r="B20">
        <f>IF(A20="","",TEXT(A20,"yyyy-mm"))</f>
        <v/>
      </c>
      <c r="G20" s="31" t="n"/>
    </row>
    <row r="21">
      <c r="A21" s="45" t="n"/>
      <c r="B21">
        <f>IF(A21="","",TEXT(A21,"yyyy-mm"))</f>
        <v/>
      </c>
      <c r="G21" s="31" t="n"/>
    </row>
    <row r="22">
      <c r="A22" s="45" t="n"/>
      <c r="B22">
        <f>IF(A22="","",TEXT(A22,"yyyy-mm"))</f>
        <v/>
      </c>
      <c r="G22" s="31" t="n"/>
    </row>
    <row r="23">
      <c r="A23" s="45" t="n"/>
      <c r="B23">
        <f>IF(A23="","",TEXT(A23,"yyyy-mm"))</f>
        <v/>
      </c>
      <c r="G23" s="31" t="n"/>
    </row>
    <row r="24">
      <c r="A24" s="45" t="n"/>
      <c r="B24">
        <f>IF(A24="","",TEXT(A24,"yyyy-mm"))</f>
        <v/>
      </c>
      <c r="G24" s="31" t="n"/>
    </row>
    <row r="25">
      <c r="A25" s="45" t="n"/>
      <c r="B25">
        <f>IF(A25="","",TEXT(A25,"yyyy-mm"))</f>
        <v/>
      </c>
      <c r="G25" s="31" t="n"/>
    </row>
    <row r="26">
      <c r="A26" s="45" t="n"/>
      <c r="B26">
        <f>IF(A26="","",TEXT(A26,"yyyy-mm"))</f>
        <v/>
      </c>
      <c r="G26" s="31" t="n"/>
    </row>
    <row r="27">
      <c r="A27" s="45" t="n"/>
      <c r="B27">
        <f>IF(A27="","",TEXT(A27,"yyyy-mm"))</f>
        <v/>
      </c>
      <c r="G27" s="31" t="n"/>
    </row>
    <row r="28">
      <c r="A28" s="45" t="n"/>
      <c r="B28">
        <f>IF(A28="","",TEXT(A28,"yyyy-mm"))</f>
        <v/>
      </c>
      <c r="G28" s="31" t="n"/>
    </row>
    <row r="29">
      <c r="A29" s="45" t="n"/>
      <c r="B29">
        <f>IF(A29="","",TEXT(A29,"yyyy-mm"))</f>
        <v/>
      </c>
      <c r="G29" s="31" t="n"/>
    </row>
    <row r="30">
      <c r="A30" s="45" t="n"/>
      <c r="B30">
        <f>IF(A30="","",TEXT(A30,"yyyy-mm"))</f>
        <v/>
      </c>
      <c r="G30" s="31" t="n"/>
    </row>
    <row r="31">
      <c r="A31" s="45" t="n"/>
      <c r="B31">
        <f>IF(A31="","",TEXT(A31,"yyyy-mm"))</f>
        <v/>
      </c>
      <c r="G31" s="31" t="n"/>
    </row>
    <row r="32">
      <c r="A32" s="45" t="n"/>
      <c r="B32">
        <f>IF(A32="","",TEXT(A32,"yyyy-mm"))</f>
        <v/>
      </c>
      <c r="G32" s="31" t="n"/>
    </row>
    <row r="33">
      <c r="A33" s="45" t="n"/>
      <c r="B33">
        <f>IF(A33="","",TEXT(A33,"yyyy-mm"))</f>
        <v/>
      </c>
      <c r="G33" s="31" t="n"/>
    </row>
    <row r="34">
      <c r="A34" s="45" t="n"/>
      <c r="B34">
        <f>IF(A34="","",TEXT(A34,"yyyy-mm"))</f>
        <v/>
      </c>
      <c r="G34" s="31" t="n"/>
    </row>
    <row r="35">
      <c r="A35" s="45" t="n"/>
      <c r="B35">
        <f>IF(A35="","",TEXT(A35,"yyyy-mm"))</f>
        <v/>
      </c>
      <c r="G35" s="31" t="n"/>
    </row>
    <row r="36">
      <c r="A36" s="45" t="n"/>
      <c r="B36">
        <f>IF(A36="","",TEXT(A36,"yyyy-mm"))</f>
        <v/>
      </c>
      <c r="G36" s="31" t="n"/>
    </row>
    <row r="37">
      <c r="A37" s="45" t="n"/>
      <c r="B37">
        <f>IF(A37="","",TEXT(A37,"yyyy-mm"))</f>
        <v/>
      </c>
      <c r="G37" s="31" t="n"/>
    </row>
    <row r="38">
      <c r="A38" s="45" t="n"/>
      <c r="B38">
        <f>IF(A38="","",TEXT(A38,"yyyy-mm"))</f>
        <v/>
      </c>
      <c r="G38" s="31" t="n"/>
    </row>
    <row r="39">
      <c r="A39" s="45" t="n"/>
      <c r="B39">
        <f>IF(A39="","",TEXT(A39,"yyyy-mm"))</f>
        <v/>
      </c>
      <c r="G39" s="31" t="n"/>
    </row>
    <row r="40">
      <c r="A40" s="45" t="n"/>
      <c r="B40">
        <f>IF(A40="","",TEXT(A40,"yyyy-mm"))</f>
        <v/>
      </c>
      <c r="G40" s="31" t="n"/>
    </row>
    <row r="41">
      <c r="A41" s="45" t="n"/>
      <c r="B41">
        <f>IF(A41="","",TEXT(A41,"yyyy-mm"))</f>
        <v/>
      </c>
      <c r="G41" s="31" t="n"/>
    </row>
    <row r="42">
      <c r="A42" s="45" t="n"/>
      <c r="B42">
        <f>IF(A42="","",TEXT(A42,"yyyy-mm"))</f>
        <v/>
      </c>
      <c r="G42" s="31" t="n"/>
    </row>
    <row r="43">
      <c r="A43" s="45" t="n"/>
      <c r="B43">
        <f>IF(A43="","",TEXT(A43,"yyyy-mm"))</f>
        <v/>
      </c>
      <c r="G43" s="31" t="n"/>
    </row>
    <row r="44">
      <c r="A44" s="45" t="n"/>
      <c r="B44">
        <f>IF(A44="","",TEXT(A44,"yyyy-mm"))</f>
        <v/>
      </c>
      <c r="G44" s="31" t="n"/>
    </row>
    <row r="45">
      <c r="A45" s="45" t="n"/>
      <c r="B45">
        <f>IF(A45="","",TEXT(A45,"yyyy-mm"))</f>
        <v/>
      </c>
      <c r="G45" s="31" t="n"/>
    </row>
    <row r="46">
      <c r="A46" s="45" t="n"/>
      <c r="B46">
        <f>IF(A46="","",TEXT(A46,"yyyy-mm"))</f>
        <v/>
      </c>
      <c r="G46" s="31" t="n"/>
    </row>
    <row r="47">
      <c r="A47" s="45" t="n"/>
      <c r="B47">
        <f>IF(A47="","",TEXT(A47,"yyyy-mm"))</f>
        <v/>
      </c>
      <c r="G47" s="31" t="n"/>
    </row>
    <row r="48">
      <c r="A48" s="45" t="n"/>
      <c r="B48">
        <f>IF(A48="","",TEXT(A48,"yyyy-mm"))</f>
        <v/>
      </c>
      <c r="G48" s="31" t="n"/>
    </row>
    <row r="49">
      <c r="A49" s="45" t="n"/>
      <c r="B49">
        <f>IF(A49="","",TEXT(A49,"yyyy-mm"))</f>
        <v/>
      </c>
      <c r="G49" s="31" t="n"/>
    </row>
    <row r="50">
      <c r="A50" s="45" t="n"/>
      <c r="B50">
        <f>IF(A50="","",TEXT(A50,"yyyy-mm"))</f>
        <v/>
      </c>
      <c r="G50" s="31" t="n"/>
    </row>
    <row r="51">
      <c r="A51" s="45" t="n"/>
      <c r="B51">
        <f>IF(A51="","",TEXT(A51,"yyyy-mm"))</f>
        <v/>
      </c>
      <c r="G51" s="31" t="n"/>
    </row>
    <row r="52">
      <c r="A52" s="45" t="n"/>
      <c r="B52">
        <f>IF(A52="","",TEXT(A52,"yyyy-mm"))</f>
        <v/>
      </c>
      <c r="G52" s="31" t="n"/>
    </row>
    <row r="53">
      <c r="A53" s="45" t="n"/>
      <c r="B53">
        <f>IF(A53="","",TEXT(A53,"yyyy-mm"))</f>
        <v/>
      </c>
      <c r="G53" s="31" t="n"/>
    </row>
    <row r="54">
      <c r="A54" s="45" t="n"/>
      <c r="B54">
        <f>IF(A54="","",TEXT(A54,"yyyy-mm"))</f>
        <v/>
      </c>
      <c r="G54" s="31" t="n"/>
    </row>
    <row r="55">
      <c r="A55" s="45" t="n"/>
      <c r="B55">
        <f>IF(A55="","",TEXT(A55,"yyyy-mm"))</f>
        <v/>
      </c>
      <c r="G55" s="31" t="n"/>
    </row>
    <row r="56">
      <c r="A56" s="45" t="n"/>
      <c r="B56">
        <f>IF(A56="","",TEXT(A56,"yyyy-mm"))</f>
        <v/>
      </c>
      <c r="G56" s="31" t="n"/>
    </row>
    <row r="57">
      <c r="A57" s="45" t="n"/>
      <c r="B57">
        <f>IF(A57="","",TEXT(A57,"yyyy-mm"))</f>
        <v/>
      </c>
      <c r="G57" s="31" t="n"/>
    </row>
    <row r="58">
      <c r="A58" s="45" t="n"/>
      <c r="B58">
        <f>IF(A58="","",TEXT(A58,"yyyy-mm"))</f>
        <v/>
      </c>
      <c r="G58" s="31" t="n"/>
    </row>
    <row r="59">
      <c r="A59" s="45" t="n"/>
      <c r="B59">
        <f>IF(A59="","",TEXT(A59,"yyyy-mm"))</f>
        <v/>
      </c>
      <c r="G59" s="31" t="n"/>
    </row>
    <row r="60">
      <c r="A60" s="45" t="n"/>
      <c r="B60">
        <f>IF(A60="","",TEXT(A60,"yyyy-mm"))</f>
        <v/>
      </c>
      <c r="G60" s="31" t="n"/>
    </row>
    <row r="61">
      <c r="A61" s="45" t="n"/>
      <c r="B61">
        <f>IF(A61="","",TEXT(A61,"yyyy-mm"))</f>
        <v/>
      </c>
      <c r="G61" s="31" t="n"/>
    </row>
    <row r="62">
      <c r="A62" s="45" t="n"/>
      <c r="B62">
        <f>IF(A62="","",TEXT(A62,"yyyy-mm"))</f>
        <v/>
      </c>
      <c r="G62" s="31" t="n"/>
    </row>
    <row r="63">
      <c r="A63" s="45" t="n"/>
      <c r="B63">
        <f>IF(A63="","",TEXT(A63,"yyyy-mm"))</f>
        <v/>
      </c>
      <c r="G63" s="31" t="n"/>
    </row>
    <row r="64">
      <c r="A64" s="45" t="n"/>
      <c r="B64">
        <f>IF(A64="","",TEXT(A64,"yyyy-mm"))</f>
        <v/>
      </c>
      <c r="G64" s="31" t="n"/>
    </row>
    <row r="65">
      <c r="A65" s="45" t="n"/>
      <c r="B65">
        <f>IF(A65="","",TEXT(A65,"yyyy-mm"))</f>
        <v/>
      </c>
      <c r="G65" s="31" t="n"/>
    </row>
    <row r="66">
      <c r="A66" s="45" t="n"/>
      <c r="B66">
        <f>IF(A66="","",TEXT(A66,"yyyy-mm"))</f>
        <v/>
      </c>
      <c r="G66" s="31" t="n"/>
    </row>
    <row r="67">
      <c r="A67" s="45" t="n"/>
      <c r="B67">
        <f>IF(A67="","",TEXT(A67,"yyyy-mm"))</f>
        <v/>
      </c>
      <c r="G67" s="31" t="n"/>
    </row>
    <row r="68">
      <c r="A68" s="45" t="n"/>
      <c r="B68">
        <f>IF(A68="","",TEXT(A68,"yyyy-mm"))</f>
        <v/>
      </c>
      <c r="G68" s="31" t="n"/>
    </row>
    <row r="69">
      <c r="A69" s="45" t="n"/>
      <c r="B69">
        <f>IF(A69="","",TEXT(A69,"yyyy-mm"))</f>
        <v/>
      </c>
      <c r="G69" s="31" t="n"/>
    </row>
    <row r="70">
      <c r="A70" s="45" t="n"/>
      <c r="B70">
        <f>IF(A70="","",TEXT(A70,"yyyy-mm"))</f>
        <v/>
      </c>
      <c r="G70" s="31" t="n"/>
    </row>
    <row r="71">
      <c r="A71" s="45" t="n"/>
      <c r="B71">
        <f>IF(A71="","",TEXT(A71,"yyyy-mm"))</f>
        <v/>
      </c>
      <c r="G71" s="31" t="n"/>
    </row>
    <row r="72">
      <c r="A72" s="45" t="n"/>
      <c r="B72">
        <f>IF(A72="","",TEXT(A72,"yyyy-mm"))</f>
        <v/>
      </c>
      <c r="G72" s="31" t="n"/>
    </row>
    <row r="73">
      <c r="A73" s="45" t="n"/>
      <c r="B73">
        <f>IF(A73="","",TEXT(A73,"yyyy-mm"))</f>
        <v/>
      </c>
      <c r="G73" s="31" t="n"/>
    </row>
    <row r="74">
      <c r="A74" s="45" t="n"/>
      <c r="B74">
        <f>IF(A74="","",TEXT(A74,"yyyy-mm"))</f>
        <v/>
      </c>
      <c r="G74" s="31" t="n"/>
    </row>
    <row r="75">
      <c r="A75" s="45" t="n"/>
      <c r="B75">
        <f>IF(A75="","",TEXT(A75,"yyyy-mm"))</f>
        <v/>
      </c>
      <c r="G75" s="31" t="n"/>
    </row>
    <row r="76">
      <c r="A76" s="45" t="n"/>
      <c r="B76">
        <f>IF(A76="","",TEXT(A76,"yyyy-mm"))</f>
        <v/>
      </c>
      <c r="G76" s="31" t="n"/>
    </row>
    <row r="77">
      <c r="A77" s="45" t="n"/>
      <c r="B77">
        <f>IF(A77="","",TEXT(A77,"yyyy-mm"))</f>
        <v/>
      </c>
      <c r="G77" s="31" t="n"/>
    </row>
    <row r="78">
      <c r="A78" s="45" t="n"/>
      <c r="B78">
        <f>IF(A78="","",TEXT(A78,"yyyy-mm"))</f>
        <v/>
      </c>
      <c r="G78" s="31" t="n"/>
    </row>
    <row r="79">
      <c r="A79" s="45" t="n"/>
      <c r="B79">
        <f>IF(A79="","",TEXT(A79,"yyyy-mm"))</f>
        <v/>
      </c>
      <c r="G79" s="31" t="n"/>
    </row>
    <row r="80">
      <c r="A80" s="45" t="n"/>
      <c r="B80">
        <f>IF(A80="","",TEXT(A80,"yyyy-mm"))</f>
        <v/>
      </c>
      <c r="G80" s="31" t="n"/>
    </row>
    <row r="81">
      <c r="A81" s="45" t="n"/>
      <c r="B81">
        <f>IF(A81="","",TEXT(A81,"yyyy-mm"))</f>
        <v/>
      </c>
      <c r="G81" s="31" t="n"/>
    </row>
    <row r="82">
      <c r="A82" s="45" t="n"/>
      <c r="B82">
        <f>IF(A82="","",TEXT(A82,"yyyy-mm"))</f>
        <v/>
      </c>
      <c r="G82" s="31" t="n"/>
    </row>
    <row r="83">
      <c r="A83" s="45" t="n"/>
      <c r="B83">
        <f>IF(A83="","",TEXT(A83,"yyyy-mm"))</f>
        <v/>
      </c>
      <c r="G83" s="31" t="n"/>
    </row>
    <row r="84">
      <c r="A84" s="45" t="n"/>
      <c r="B84">
        <f>IF(A84="","",TEXT(A84,"yyyy-mm"))</f>
        <v/>
      </c>
      <c r="G84" s="31" t="n"/>
    </row>
    <row r="85">
      <c r="A85" s="45" t="n"/>
      <c r="B85">
        <f>IF(A85="","",TEXT(A85,"yyyy-mm"))</f>
        <v/>
      </c>
      <c r="G85" s="31" t="n"/>
    </row>
    <row r="86">
      <c r="A86" s="45" t="n"/>
      <c r="B86">
        <f>IF(A86="","",TEXT(A86,"yyyy-mm"))</f>
        <v/>
      </c>
      <c r="G86" s="31" t="n"/>
    </row>
    <row r="87">
      <c r="A87" s="45" t="n"/>
      <c r="B87">
        <f>IF(A87="","",TEXT(A87,"yyyy-mm"))</f>
        <v/>
      </c>
      <c r="G87" s="31" t="n"/>
    </row>
    <row r="88">
      <c r="A88" s="45" t="n"/>
      <c r="B88">
        <f>IF(A88="","",TEXT(A88,"yyyy-mm"))</f>
        <v/>
      </c>
      <c r="G88" s="31" t="n"/>
    </row>
    <row r="89">
      <c r="A89" s="45" t="n"/>
      <c r="B89">
        <f>IF(A89="","",TEXT(A89,"yyyy-mm"))</f>
        <v/>
      </c>
      <c r="G89" s="31" t="n"/>
    </row>
    <row r="90">
      <c r="A90" s="45" t="n"/>
      <c r="B90">
        <f>IF(A90="","",TEXT(A90,"yyyy-mm"))</f>
        <v/>
      </c>
      <c r="G90" s="31" t="n"/>
    </row>
    <row r="91">
      <c r="A91" s="45" t="n"/>
      <c r="B91">
        <f>IF(A91="","",TEXT(A91,"yyyy-mm"))</f>
        <v/>
      </c>
      <c r="G91" s="31" t="n"/>
    </row>
    <row r="92">
      <c r="A92" s="45" t="n"/>
      <c r="B92">
        <f>IF(A92="","",TEXT(A92,"yyyy-mm"))</f>
        <v/>
      </c>
      <c r="G92" s="31" t="n"/>
    </row>
    <row r="93">
      <c r="A93" s="45" t="n"/>
      <c r="B93">
        <f>IF(A93="","",TEXT(A93,"yyyy-mm"))</f>
        <v/>
      </c>
      <c r="G93" s="31" t="n"/>
    </row>
    <row r="94">
      <c r="A94" s="45" t="n"/>
      <c r="B94">
        <f>IF(A94="","",TEXT(A94,"yyyy-mm"))</f>
        <v/>
      </c>
      <c r="G94" s="31" t="n"/>
    </row>
    <row r="95">
      <c r="A95" s="45" t="n"/>
      <c r="B95">
        <f>IF(A95="","",TEXT(A95,"yyyy-mm"))</f>
        <v/>
      </c>
      <c r="G95" s="31" t="n"/>
    </row>
    <row r="96">
      <c r="A96" s="45" t="n"/>
      <c r="B96">
        <f>IF(A96="","",TEXT(A96,"yyyy-mm"))</f>
        <v/>
      </c>
      <c r="G96" s="31" t="n"/>
    </row>
    <row r="97">
      <c r="A97" s="45" t="n"/>
      <c r="B97">
        <f>IF(A97="","",TEXT(A97,"yyyy-mm"))</f>
        <v/>
      </c>
      <c r="G97" s="31" t="n"/>
    </row>
    <row r="98">
      <c r="A98" s="45" t="n"/>
      <c r="B98">
        <f>IF(A98="","",TEXT(A98,"yyyy-mm"))</f>
        <v/>
      </c>
      <c r="G98" s="31" t="n"/>
    </row>
    <row r="99">
      <c r="A99" s="45" t="n"/>
      <c r="B99">
        <f>IF(A99="","",TEXT(A99,"yyyy-mm"))</f>
        <v/>
      </c>
      <c r="G99" s="31" t="n"/>
    </row>
    <row r="100">
      <c r="A100" s="45" t="n"/>
      <c r="B100">
        <f>IF(A100="","",TEXT(A100,"yyyy-mm"))</f>
        <v/>
      </c>
      <c r="G100" s="31" t="n"/>
    </row>
    <row r="101">
      <c r="A101" s="45" t="n"/>
      <c r="B101">
        <f>IF(A101="","",TEXT(A101,"yyyy-mm"))</f>
        <v/>
      </c>
      <c r="G101" s="31" t="n"/>
    </row>
    <row r="102">
      <c r="A102" s="45" t="n"/>
      <c r="B102">
        <f>IF(A102="","",TEXT(A102,"yyyy-mm"))</f>
        <v/>
      </c>
      <c r="G102" s="31" t="n"/>
    </row>
    <row r="103">
      <c r="A103" s="45" t="n"/>
      <c r="B103">
        <f>IF(A103="","",TEXT(A103,"yyyy-mm"))</f>
        <v/>
      </c>
      <c r="G103" s="31" t="n"/>
    </row>
    <row r="104">
      <c r="A104" s="45" t="n"/>
      <c r="B104">
        <f>IF(A104="","",TEXT(A104,"yyyy-mm"))</f>
        <v/>
      </c>
      <c r="G104" s="31" t="n"/>
    </row>
    <row r="105">
      <c r="A105" s="45" t="n"/>
      <c r="B105">
        <f>IF(A105="","",TEXT(A105,"yyyy-mm"))</f>
        <v/>
      </c>
      <c r="G105" s="31" t="n"/>
    </row>
    <row r="106">
      <c r="A106" s="45" t="n"/>
      <c r="B106">
        <f>IF(A106="","",TEXT(A106,"yyyy-mm"))</f>
        <v/>
      </c>
      <c r="G106" s="31" t="n"/>
    </row>
    <row r="107">
      <c r="A107" s="45" t="n"/>
      <c r="B107">
        <f>IF(A107="","",TEXT(A107,"yyyy-mm"))</f>
        <v/>
      </c>
      <c r="G107" s="31" t="n"/>
    </row>
    <row r="108">
      <c r="A108" s="45" t="n"/>
      <c r="B108">
        <f>IF(A108="","",TEXT(A108,"yyyy-mm"))</f>
        <v/>
      </c>
      <c r="G108" s="31" t="n"/>
    </row>
    <row r="109">
      <c r="A109" s="45" t="n"/>
      <c r="B109">
        <f>IF(A109="","",TEXT(A109,"yyyy-mm"))</f>
        <v/>
      </c>
      <c r="G109" s="31" t="n"/>
    </row>
    <row r="110">
      <c r="A110" s="45" t="n"/>
      <c r="B110">
        <f>IF(A110="","",TEXT(A110,"yyyy-mm"))</f>
        <v/>
      </c>
      <c r="G110" s="31" t="n"/>
    </row>
    <row r="111">
      <c r="A111" s="45" t="n"/>
      <c r="B111">
        <f>IF(A111="","",TEXT(A111,"yyyy-mm"))</f>
        <v/>
      </c>
      <c r="G111" s="31" t="n"/>
    </row>
    <row r="112">
      <c r="A112" s="45" t="n"/>
      <c r="B112">
        <f>IF(A112="","",TEXT(A112,"yyyy-mm"))</f>
        <v/>
      </c>
      <c r="G112" s="31" t="n"/>
    </row>
    <row r="113">
      <c r="A113" s="45" t="n"/>
      <c r="B113">
        <f>IF(A113="","",TEXT(A113,"yyyy-mm"))</f>
        <v/>
      </c>
      <c r="G113" s="31" t="n"/>
    </row>
    <row r="114">
      <c r="A114" s="45" t="n"/>
      <c r="B114">
        <f>IF(A114="","",TEXT(A114,"yyyy-mm"))</f>
        <v/>
      </c>
      <c r="G114" s="31" t="n"/>
    </row>
    <row r="115">
      <c r="A115" s="45" t="n"/>
      <c r="B115">
        <f>IF(A115="","",TEXT(A115,"yyyy-mm"))</f>
        <v/>
      </c>
      <c r="G115" s="31" t="n"/>
    </row>
    <row r="116">
      <c r="A116" s="45" t="n"/>
      <c r="B116">
        <f>IF(A116="","",TEXT(A116,"yyyy-mm"))</f>
        <v/>
      </c>
      <c r="G116" s="31" t="n"/>
    </row>
    <row r="117">
      <c r="A117" s="45" t="n"/>
      <c r="B117">
        <f>IF(A117="","",TEXT(A117,"yyyy-mm"))</f>
        <v/>
      </c>
      <c r="G117" s="31" t="n"/>
    </row>
    <row r="118">
      <c r="A118" s="45" t="n"/>
      <c r="B118">
        <f>IF(A118="","",TEXT(A118,"yyyy-mm"))</f>
        <v/>
      </c>
      <c r="G118" s="31" t="n"/>
    </row>
    <row r="119">
      <c r="A119" s="45" t="n"/>
      <c r="B119">
        <f>IF(A119="","",TEXT(A119,"yyyy-mm"))</f>
        <v/>
      </c>
      <c r="G119" s="31" t="n"/>
    </row>
    <row r="120">
      <c r="A120" s="45" t="n"/>
      <c r="B120">
        <f>IF(A120="","",TEXT(A120,"yyyy-mm"))</f>
        <v/>
      </c>
      <c r="G120" s="31" t="n"/>
    </row>
    <row r="121">
      <c r="A121" s="45" t="n"/>
      <c r="B121">
        <f>IF(A121="","",TEXT(A121,"yyyy-mm"))</f>
        <v/>
      </c>
      <c r="G121" s="31" t="n"/>
    </row>
    <row r="122">
      <c r="A122" s="45" t="n"/>
      <c r="B122">
        <f>IF(A122="","",TEXT(A122,"yyyy-mm"))</f>
        <v/>
      </c>
      <c r="G122" s="31" t="n"/>
    </row>
    <row r="123">
      <c r="A123" s="45" t="n"/>
      <c r="B123">
        <f>IF(A123="","",TEXT(A123,"yyyy-mm"))</f>
        <v/>
      </c>
      <c r="G123" s="31" t="n"/>
    </row>
    <row r="124">
      <c r="A124" s="45" t="n"/>
      <c r="B124">
        <f>IF(A124="","",TEXT(A124,"yyyy-mm"))</f>
        <v/>
      </c>
      <c r="G124" s="31" t="n"/>
    </row>
    <row r="125">
      <c r="A125" s="45" t="n"/>
      <c r="B125">
        <f>IF(A125="","",TEXT(A125,"yyyy-mm"))</f>
        <v/>
      </c>
      <c r="G125" s="31" t="n"/>
    </row>
    <row r="126">
      <c r="A126" s="45" t="n"/>
      <c r="B126">
        <f>IF(A126="","",TEXT(A126,"yyyy-mm"))</f>
        <v/>
      </c>
      <c r="G126" s="31" t="n"/>
    </row>
    <row r="127">
      <c r="A127" s="45" t="n"/>
      <c r="B127">
        <f>IF(A127="","",TEXT(A127,"yyyy-mm"))</f>
        <v/>
      </c>
      <c r="G127" s="31" t="n"/>
    </row>
    <row r="128">
      <c r="A128" s="45" t="n"/>
      <c r="B128">
        <f>IF(A128="","",TEXT(A128,"yyyy-mm"))</f>
        <v/>
      </c>
      <c r="G128" s="31" t="n"/>
    </row>
    <row r="129">
      <c r="A129" s="45" t="n"/>
      <c r="B129">
        <f>IF(A129="","",TEXT(A129,"yyyy-mm"))</f>
        <v/>
      </c>
      <c r="G129" s="31" t="n"/>
    </row>
    <row r="130">
      <c r="A130" s="45" t="n"/>
      <c r="B130">
        <f>IF(A130="","",TEXT(A130,"yyyy-mm"))</f>
        <v/>
      </c>
      <c r="G130" s="31" t="n"/>
    </row>
    <row r="131">
      <c r="A131" s="45" t="n"/>
      <c r="B131">
        <f>IF(A131="","",TEXT(A131,"yyyy-mm"))</f>
        <v/>
      </c>
      <c r="G131" s="31" t="n"/>
    </row>
    <row r="132">
      <c r="A132" s="45" t="n"/>
      <c r="B132">
        <f>IF(A132="","",TEXT(A132,"yyyy-mm"))</f>
        <v/>
      </c>
      <c r="G132" s="31" t="n"/>
    </row>
    <row r="133">
      <c r="A133" s="45" t="n"/>
      <c r="B133">
        <f>IF(A133="","",TEXT(A133,"yyyy-mm"))</f>
        <v/>
      </c>
      <c r="G133" s="31" t="n"/>
    </row>
    <row r="134">
      <c r="A134" s="45" t="n"/>
      <c r="B134">
        <f>IF(A134="","",TEXT(A134,"yyyy-mm"))</f>
        <v/>
      </c>
      <c r="G134" s="31" t="n"/>
    </row>
    <row r="135">
      <c r="A135" s="45" t="n"/>
      <c r="B135">
        <f>IF(A135="","",TEXT(A135,"yyyy-mm"))</f>
        <v/>
      </c>
      <c r="G135" s="31" t="n"/>
    </row>
    <row r="136">
      <c r="A136" s="45" t="n"/>
      <c r="B136">
        <f>IF(A136="","",TEXT(A136,"yyyy-mm"))</f>
        <v/>
      </c>
      <c r="G136" s="31" t="n"/>
    </row>
    <row r="137">
      <c r="A137" s="45" t="n"/>
      <c r="B137">
        <f>IF(A137="","",TEXT(A137,"yyyy-mm"))</f>
        <v/>
      </c>
      <c r="G137" s="31" t="n"/>
    </row>
    <row r="138">
      <c r="A138" s="45" t="n"/>
      <c r="B138">
        <f>IF(A138="","",TEXT(A138,"yyyy-mm"))</f>
        <v/>
      </c>
      <c r="G138" s="31" t="n"/>
    </row>
    <row r="139">
      <c r="A139" s="45" t="n"/>
      <c r="B139">
        <f>IF(A139="","",TEXT(A139,"yyyy-mm"))</f>
        <v/>
      </c>
      <c r="G139" s="31" t="n"/>
    </row>
    <row r="140">
      <c r="A140" s="45" t="n"/>
      <c r="B140">
        <f>IF(A140="","",TEXT(A140,"yyyy-mm"))</f>
        <v/>
      </c>
      <c r="G140" s="31" t="n"/>
    </row>
    <row r="141">
      <c r="A141" s="45" t="n"/>
      <c r="B141">
        <f>IF(A141="","",TEXT(A141,"yyyy-mm"))</f>
        <v/>
      </c>
      <c r="G141" s="31" t="n"/>
    </row>
    <row r="142">
      <c r="A142" s="45" t="n"/>
      <c r="B142">
        <f>IF(A142="","",TEXT(A142,"yyyy-mm"))</f>
        <v/>
      </c>
      <c r="G142" s="31" t="n"/>
    </row>
    <row r="143">
      <c r="A143" s="45" t="n"/>
      <c r="B143">
        <f>IF(A143="","",TEXT(A143,"yyyy-mm"))</f>
        <v/>
      </c>
      <c r="G143" s="31" t="n"/>
    </row>
    <row r="144">
      <c r="A144" s="45" t="n"/>
      <c r="B144">
        <f>IF(A144="","",TEXT(A144,"yyyy-mm"))</f>
        <v/>
      </c>
      <c r="G144" s="31" t="n"/>
    </row>
    <row r="145">
      <c r="A145" s="45" t="n"/>
      <c r="B145">
        <f>IF(A145="","",TEXT(A145,"yyyy-mm"))</f>
        <v/>
      </c>
      <c r="G145" s="31" t="n"/>
    </row>
    <row r="146">
      <c r="A146" s="45" t="n"/>
      <c r="B146">
        <f>IF(A146="","",TEXT(A146,"yyyy-mm"))</f>
        <v/>
      </c>
      <c r="G146" s="31" t="n"/>
    </row>
    <row r="147">
      <c r="A147" s="45" t="n"/>
      <c r="B147">
        <f>IF(A147="","",TEXT(A147,"yyyy-mm"))</f>
        <v/>
      </c>
      <c r="G147" s="31" t="n"/>
    </row>
    <row r="148">
      <c r="A148" s="45" t="n"/>
      <c r="B148">
        <f>IF(A148="","",TEXT(A148,"yyyy-mm"))</f>
        <v/>
      </c>
      <c r="G148" s="31" t="n"/>
    </row>
    <row r="149">
      <c r="A149" s="45" t="n"/>
      <c r="B149">
        <f>IF(A149="","",TEXT(A149,"yyyy-mm"))</f>
        <v/>
      </c>
      <c r="G149" s="31" t="n"/>
    </row>
    <row r="150">
      <c r="A150" s="45" t="n"/>
      <c r="B150">
        <f>IF(A150="","",TEXT(A150,"yyyy-mm"))</f>
        <v/>
      </c>
      <c r="G150" s="31" t="n"/>
    </row>
    <row r="151">
      <c r="A151" s="45" t="n"/>
      <c r="B151">
        <f>IF(A151="","",TEXT(A151,"yyyy-mm"))</f>
        <v/>
      </c>
      <c r="G151" s="31" t="n"/>
    </row>
    <row r="152">
      <c r="A152" s="45" t="n"/>
      <c r="B152">
        <f>IF(A152="","",TEXT(A152,"yyyy-mm"))</f>
        <v/>
      </c>
      <c r="G152" s="31" t="n"/>
    </row>
    <row r="153">
      <c r="A153" s="45" t="n"/>
      <c r="B153">
        <f>IF(A153="","",TEXT(A153,"yyyy-mm"))</f>
        <v/>
      </c>
      <c r="G153" s="31" t="n"/>
    </row>
    <row r="154">
      <c r="A154" s="45" t="n"/>
      <c r="B154">
        <f>IF(A154="","",TEXT(A154,"yyyy-mm"))</f>
        <v/>
      </c>
      <c r="G154" s="31" t="n"/>
    </row>
    <row r="155">
      <c r="A155" s="45" t="n"/>
      <c r="B155">
        <f>IF(A155="","",TEXT(A155,"yyyy-mm"))</f>
        <v/>
      </c>
      <c r="G155" s="31" t="n"/>
    </row>
    <row r="156">
      <c r="A156" s="45" t="n"/>
      <c r="B156">
        <f>IF(A156="","",TEXT(A156,"yyyy-mm"))</f>
        <v/>
      </c>
      <c r="G156" s="31" t="n"/>
    </row>
    <row r="157">
      <c r="A157" s="45" t="n"/>
      <c r="B157">
        <f>IF(A157="","",TEXT(A157,"yyyy-mm"))</f>
        <v/>
      </c>
      <c r="G157" s="31" t="n"/>
    </row>
    <row r="158">
      <c r="A158" s="45" t="n"/>
      <c r="B158">
        <f>IF(A158="","",TEXT(A158,"yyyy-mm"))</f>
        <v/>
      </c>
      <c r="G158" s="31" t="n"/>
    </row>
    <row r="159">
      <c r="A159" s="45" t="n"/>
      <c r="B159">
        <f>IF(A159="","",TEXT(A159,"yyyy-mm"))</f>
        <v/>
      </c>
      <c r="G159" s="31" t="n"/>
    </row>
    <row r="160">
      <c r="A160" s="45" t="n"/>
      <c r="B160">
        <f>IF(A160="","",TEXT(A160,"yyyy-mm"))</f>
        <v/>
      </c>
      <c r="G160" s="31" t="n"/>
    </row>
    <row r="161">
      <c r="A161" s="45" t="n"/>
      <c r="B161">
        <f>IF(A161="","",TEXT(A161,"yyyy-mm"))</f>
        <v/>
      </c>
      <c r="G161" s="31" t="n"/>
    </row>
    <row r="162">
      <c r="A162" s="45" t="n"/>
      <c r="B162">
        <f>IF(A162="","",TEXT(A162,"yyyy-mm"))</f>
        <v/>
      </c>
      <c r="G162" s="31" t="n"/>
    </row>
    <row r="163">
      <c r="A163" s="45" t="n"/>
      <c r="B163">
        <f>IF(A163="","",TEXT(A163,"yyyy-mm"))</f>
        <v/>
      </c>
      <c r="G163" s="31" t="n"/>
    </row>
    <row r="164">
      <c r="A164" s="45" t="n"/>
      <c r="B164">
        <f>IF(A164="","",TEXT(A164,"yyyy-mm"))</f>
        <v/>
      </c>
      <c r="G164" s="31" t="n"/>
    </row>
    <row r="165">
      <c r="A165" s="45" t="n"/>
      <c r="B165">
        <f>IF(A165="","",TEXT(A165,"yyyy-mm"))</f>
        <v/>
      </c>
      <c r="G165" s="31" t="n"/>
    </row>
    <row r="166">
      <c r="A166" s="45" t="n"/>
      <c r="B166">
        <f>IF(A166="","",TEXT(A166,"yyyy-mm"))</f>
        <v/>
      </c>
      <c r="G166" s="31" t="n"/>
    </row>
    <row r="167">
      <c r="A167" s="45" t="n"/>
      <c r="B167">
        <f>IF(A167="","",TEXT(A167,"yyyy-mm"))</f>
        <v/>
      </c>
      <c r="G167" s="31" t="n"/>
    </row>
    <row r="168">
      <c r="A168" s="45" t="n"/>
      <c r="B168">
        <f>IF(A168="","",TEXT(A168,"yyyy-mm"))</f>
        <v/>
      </c>
      <c r="G168" s="31" t="n"/>
    </row>
    <row r="169">
      <c r="A169" s="45" t="n"/>
      <c r="B169">
        <f>IF(A169="","",TEXT(A169,"yyyy-mm"))</f>
        <v/>
      </c>
      <c r="G169" s="31" t="n"/>
    </row>
    <row r="170">
      <c r="A170" s="45" t="n"/>
      <c r="B170">
        <f>IF(A170="","",TEXT(A170,"yyyy-mm"))</f>
        <v/>
      </c>
      <c r="G170" s="31" t="n"/>
    </row>
    <row r="171">
      <c r="A171" s="45" t="n"/>
      <c r="B171">
        <f>IF(A171="","",TEXT(A171,"yyyy-mm"))</f>
        <v/>
      </c>
      <c r="G171" s="31" t="n"/>
    </row>
    <row r="172">
      <c r="A172" s="45" t="n"/>
      <c r="B172">
        <f>IF(A172="","",TEXT(A172,"yyyy-mm"))</f>
        <v/>
      </c>
      <c r="G172" s="31" t="n"/>
    </row>
    <row r="173">
      <c r="A173" s="45" t="n"/>
      <c r="B173">
        <f>IF(A173="","",TEXT(A173,"yyyy-mm"))</f>
        <v/>
      </c>
      <c r="G173" s="31" t="n"/>
    </row>
    <row r="174">
      <c r="A174" s="45" t="n"/>
      <c r="B174">
        <f>IF(A174="","",TEXT(A174,"yyyy-mm"))</f>
        <v/>
      </c>
      <c r="G174" s="31" t="n"/>
    </row>
    <row r="175">
      <c r="A175" s="45" t="n"/>
      <c r="B175">
        <f>IF(A175="","",TEXT(A175,"yyyy-mm"))</f>
        <v/>
      </c>
      <c r="G175" s="31" t="n"/>
    </row>
    <row r="176">
      <c r="A176" s="45" t="n"/>
      <c r="B176">
        <f>IF(A176="","",TEXT(A176,"yyyy-mm"))</f>
        <v/>
      </c>
      <c r="G176" s="31" t="n"/>
    </row>
    <row r="177">
      <c r="A177" s="45" t="n"/>
      <c r="B177">
        <f>IF(A177="","",TEXT(A177,"yyyy-mm"))</f>
        <v/>
      </c>
      <c r="G177" s="31" t="n"/>
    </row>
    <row r="178">
      <c r="A178" s="45" t="n"/>
      <c r="B178">
        <f>IF(A178="","",TEXT(A178,"yyyy-mm"))</f>
        <v/>
      </c>
      <c r="G178" s="31" t="n"/>
    </row>
    <row r="179">
      <c r="A179" s="45" t="n"/>
      <c r="B179">
        <f>IF(A179="","",TEXT(A179,"yyyy-mm"))</f>
        <v/>
      </c>
      <c r="G179" s="31" t="n"/>
    </row>
    <row r="180">
      <c r="A180" s="45" t="n"/>
      <c r="B180">
        <f>IF(A180="","",TEXT(A180,"yyyy-mm"))</f>
        <v/>
      </c>
      <c r="G180" s="31" t="n"/>
    </row>
    <row r="181">
      <c r="A181" s="45" t="n"/>
      <c r="B181">
        <f>IF(A181="","",TEXT(A181,"yyyy-mm"))</f>
        <v/>
      </c>
      <c r="G181" s="31" t="n"/>
    </row>
    <row r="182">
      <c r="A182" s="45" t="n"/>
      <c r="B182">
        <f>IF(A182="","",TEXT(A182,"yyyy-mm"))</f>
        <v/>
      </c>
      <c r="G182" s="31" t="n"/>
    </row>
    <row r="183">
      <c r="A183" s="45" t="n"/>
      <c r="B183">
        <f>IF(A183="","",TEXT(A183,"yyyy-mm"))</f>
        <v/>
      </c>
      <c r="G183" s="31" t="n"/>
    </row>
    <row r="184">
      <c r="A184" s="45" t="n"/>
      <c r="B184">
        <f>IF(A184="","",TEXT(A184,"yyyy-mm"))</f>
        <v/>
      </c>
      <c r="G184" s="31" t="n"/>
    </row>
    <row r="185">
      <c r="A185" s="45" t="n"/>
      <c r="B185">
        <f>IF(A185="","",TEXT(A185,"yyyy-mm"))</f>
        <v/>
      </c>
      <c r="G185" s="31" t="n"/>
    </row>
    <row r="186">
      <c r="A186" s="45" t="n"/>
      <c r="B186">
        <f>IF(A186="","",TEXT(A186,"yyyy-mm"))</f>
        <v/>
      </c>
      <c r="G186" s="31" t="n"/>
    </row>
    <row r="187">
      <c r="A187" s="45" t="n"/>
      <c r="B187">
        <f>IF(A187="","",TEXT(A187,"yyyy-mm"))</f>
        <v/>
      </c>
      <c r="G187" s="31" t="n"/>
    </row>
    <row r="188">
      <c r="A188" s="45" t="n"/>
      <c r="B188">
        <f>IF(A188="","",TEXT(A188,"yyyy-mm"))</f>
        <v/>
      </c>
      <c r="G188" s="31" t="n"/>
    </row>
    <row r="189">
      <c r="A189" s="45" t="n"/>
      <c r="B189">
        <f>IF(A189="","",TEXT(A189,"yyyy-mm"))</f>
        <v/>
      </c>
      <c r="G189" s="31" t="n"/>
    </row>
    <row r="190">
      <c r="A190" s="45" t="n"/>
      <c r="B190">
        <f>IF(A190="","",TEXT(A190,"yyyy-mm"))</f>
        <v/>
      </c>
      <c r="G190" s="31" t="n"/>
    </row>
    <row r="191">
      <c r="A191" s="45" t="n"/>
      <c r="B191">
        <f>IF(A191="","",TEXT(A191,"yyyy-mm"))</f>
        <v/>
      </c>
      <c r="G191" s="31" t="n"/>
    </row>
    <row r="192">
      <c r="A192" s="45" t="n"/>
      <c r="B192">
        <f>IF(A192="","",TEXT(A192,"yyyy-mm"))</f>
        <v/>
      </c>
      <c r="G192" s="31" t="n"/>
    </row>
    <row r="193">
      <c r="A193" s="45" t="n"/>
      <c r="B193">
        <f>IF(A193="","",TEXT(A193,"yyyy-mm"))</f>
        <v/>
      </c>
      <c r="G193" s="31" t="n"/>
    </row>
    <row r="194">
      <c r="A194" s="45" t="n"/>
      <c r="B194">
        <f>IF(A194="","",TEXT(A194,"yyyy-mm"))</f>
        <v/>
      </c>
      <c r="G194" s="31" t="n"/>
    </row>
    <row r="195">
      <c r="A195" s="45" t="n"/>
      <c r="B195">
        <f>IF(A195="","",TEXT(A195,"yyyy-mm"))</f>
        <v/>
      </c>
      <c r="G195" s="31" t="n"/>
    </row>
    <row r="196">
      <c r="A196" s="45" t="n"/>
      <c r="B196">
        <f>IF(A196="","",TEXT(A196,"yyyy-mm"))</f>
        <v/>
      </c>
      <c r="G196" s="31" t="n"/>
    </row>
    <row r="197">
      <c r="A197" s="45" t="n"/>
      <c r="B197">
        <f>IF(A197="","",TEXT(A197,"yyyy-mm"))</f>
        <v/>
      </c>
      <c r="G197" s="31" t="n"/>
    </row>
    <row r="198">
      <c r="A198" s="45" t="n"/>
      <c r="B198">
        <f>IF(A198="","",TEXT(A198,"yyyy-mm"))</f>
        <v/>
      </c>
      <c r="G198" s="31" t="n"/>
    </row>
    <row r="199">
      <c r="A199" s="45" t="n"/>
      <c r="B199">
        <f>IF(A199="","",TEXT(A199,"yyyy-mm"))</f>
        <v/>
      </c>
      <c r="G199" s="31" t="n"/>
    </row>
    <row r="200">
      <c r="A200" s="45" t="n"/>
      <c r="B200">
        <f>IF(A200="","",TEXT(A200,"yyyy-mm"))</f>
        <v/>
      </c>
      <c r="G200" s="31" t="n"/>
    </row>
    <row r="201">
      <c r="A201" s="45" t="n"/>
      <c r="B201">
        <f>IF(A201="","",TEXT(A201,"yyyy-mm"))</f>
        <v/>
      </c>
      <c r="G201" s="31" t="n"/>
    </row>
    <row r="202">
      <c r="A202" s="45" t="n"/>
      <c r="B202">
        <f>IF(A202="","",TEXT(A202,"yyyy-mm"))</f>
        <v/>
      </c>
      <c r="G202" s="31" t="n"/>
    </row>
    <row r="203">
      <c r="A203" s="45" t="n"/>
      <c r="B203">
        <f>IF(A203="","",TEXT(A203,"yyyy-mm"))</f>
        <v/>
      </c>
      <c r="G203" s="31" t="n"/>
    </row>
    <row r="204">
      <c r="A204" s="45" t="n"/>
      <c r="B204">
        <f>IF(A204="","",TEXT(A204,"yyyy-mm"))</f>
        <v/>
      </c>
      <c r="G204" s="31" t="n"/>
    </row>
    <row r="205">
      <c r="A205" s="45" t="n"/>
      <c r="B205">
        <f>IF(A205="","",TEXT(A205,"yyyy-mm"))</f>
        <v/>
      </c>
      <c r="G205" s="31" t="n"/>
    </row>
    <row r="206">
      <c r="A206" s="45" t="n"/>
      <c r="B206">
        <f>IF(A206="","",TEXT(A206,"yyyy-mm"))</f>
        <v/>
      </c>
      <c r="G206" s="31" t="n"/>
    </row>
    <row r="207">
      <c r="A207" s="45" t="n"/>
      <c r="B207">
        <f>IF(A207="","",TEXT(A207,"yyyy-mm"))</f>
        <v/>
      </c>
      <c r="G207" s="31" t="n"/>
    </row>
    <row r="208">
      <c r="A208" s="45" t="n"/>
      <c r="B208">
        <f>IF(A208="","",TEXT(A208,"yyyy-mm"))</f>
        <v/>
      </c>
      <c r="G208" s="31" t="n"/>
    </row>
    <row r="209">
      <c r="A209" s="45" t="n"/>
      <c r="B209">
        <f>IF(A209="","",TEXT(A209,"yyyy-mm"))</f>
        <v/>
      </c>
      <c r="G209" s="31" t="n"/>
    </row>
    <row r="210">
      <c r="A210" s="45" t="n"/>
      <c r="B210">
        <f>IF(A210="","",TEXT(A210,"yyyy-mm"))</f>
        <v/>
      </c>
      <c r="G210" s="31" t="n"/>
    </row>
    <row r="211">
      <c r="A211" s="45" t="n"/>
      <c r="B211">
        <f>IF(A211="","",TEXT(A211,"yyyy-mm"))</f>
        <v/>
      </c>
      <c r="G211" s="31" t="n"/>
    </row>
    <row r="212">
      <c r="A212" s="45" t="n"/>
      <c r="B212">
        <f>IF(A212="","",TEXT(A212,"yyyy-mm"))</f>
        <v/>
      </c>
      <c r="G212" s="31" t="n"/>
    </row>
    <row r="213">
      <c r="A213" s="45" t="n"/>
      <c r="B213">
        <f>IF(A213="","",TEXT(A213,"yyyy-mm"))</f>
        <v/>
      </c>
      <c r="G213" s="31" t="n"/>
    </row>
    <row r="214">
      <c r="A214" s="45" t="n"/>
      <c r="B214">
        <f>IF(A214="","",TEXT(A214,"yyyy-mm"))</f>
        <v/>
      </c>
      <c r="G214" s="31" t="n"/>
    </row>
    <row r="215">
      <c r="A215" s="45" t="n"/>
      <c r="B215">
        <f>IF(A215="","",TEXT(A215,"yyyy-mm"))</f>
        <v/>
      </c>
      <c r="G215" s="31" t="n"/>
    </row>
    <row r="216">
      <c r="A216" s="45" t="n"/>
      <c r="B216">
        <f>IF(A216="","",TEXT(A216,"yyyy-mm"))</f>
        <v/>
      </c>
      <c r="G216" s="31" t="n"/>
    </row>
    <row r="217">
      <c r="A217" s="45" t="n"/>
      <c r="B217">
        <f>IF(A217="","",TEXT(A217,"yyyy-mm"))</f>
        <v/>
      </c>
      <c r="G217" s="31" t="n"/>
    </row>
    <row r="218">
      <c r="A218" s="45" t="n"/>
      <c r="B218">
        <f>IF(A218="","",TEXT(A218,"yyyy-mm"))</f>
        <v/>
      </c>
      <c r="G218" s="31" t="n"/>
    </row>
    <row r="219">
      <c r="A219" s="45" t="n"/>
      <c r="B219">
        <f>IF(A219="","",TEXT(A219,"yyyy-mm"))</f>
        <v/>
      </c>
      <c r="G219" s="31" t="n"/>
    </row>
    <row r="220">
      <c r="A220" s="45" t="n"/>
      <c r="B220">
        <f>IF(A220="","",TEXT(A220,"yyyy-mm"))</f>
        <v/>
      </c>
      <c r="G220" s="31" t="n"/>
    </row>
    <row r="221">
      <c r="A221" s="45" t="n"/>
      <c r="B221">
        <f>IF(A221="","",TEXT(A221,"yyyy-mm"))</f>
        <v/>
      </c>
      <c r="G221" s="31" t="n"/>
    </row>
    <row r="222">
      <c r="A222" s="45" t="n"/>
      <c r="B222">
        <f>IF(A222="","",TEXT(A222,"yyyy-mm"))</f>
        <v/>
      </c>
      <c r="G222" s="31" t="n"/>
    </row>
    <row r="223">
      <c r="A223" s="45" t="n"/>
      <c r="B223">
        <f>IF(A223="","",TEXT(A223,"yyyy-mm"))</f>
        <v/>
      </c>
      <c r="G223" s="31" t="n"/>
    </row>
    <row r="224">
      <c r="A224" s="45" t="n"/>
      <c r="B224">
        <f>IF(A224="","",TEXT(A224,"yyyy-mm"))</f>
        <v/>
      </c>
      <c r="G224" s="31" t="n"/>
    </row>
    <row r="225">
      <c r="A225" s="45" t="n"/>
      <c r="B225">
        <f>IF(A225="","",TEXT(A225,"yyyy-mm"))</f>
        <v/>
      </c>
      <c r="G225" s="31" t="n"/>
    </row>
    <row r="226">
      <c r="A226" s="45" t="n"/>
      <c r="B226">
        <f>IF(A226="","",TEXT(A226,"yyyy-mm"))</f>
        <v/>
      </c>
      <c r="G226" s="31" t="n"/>
    </row>
    <row r="227">
      <c r="A227" s="45" t="n"/>
      <c r="B227">
        <f>IF(A227="","",TEXT(A227,"yyyy-mm"))</f>
        <v/>
      </c>
      <c r="G227" s="31" t="n"/>
    </row>
    <row r="228">
      <c r="A228" s="45" t="n"/>
      <c r="B228">
        <f>IF(A228="","",TEXT(A228,"yyyy-mm"))</f>
        <v/>
      </c>
      <c r="G228" s="31" t="n"/>
    </row>
    <row r="229">
      <c r="A229" s="45" t="n"/>
      <c r="B229">
        <f>IF(A229="","",TEXT(A229,"yyyy-mm"))</f>
        <v/>
      </c>
      <c r="G229" s="31" t="n"/>
    </row>
    <row r="230">
      <c r="A230" s="45" t="n"/>
      <c r="B230">
        <f>IF(A230="","",TEXT(A230,"yyyy-mm"))</f>
        <v/>
      </c>
      <c r="G230" s="31" t="n"/>
    </row>
    <row r="231">
      <c r="A231" s="45" t="n"/>
      <c r="B231">
        <f>IF(A231="","",TEXT(A231,"yyyy-mm"))</f>
        <v/>
      </c>
      <c r="G231" s="31" t="n"/>
    </row>
    <row r="232">
      <c r="A232" s="45" t="n"/>
      <c r="B232">
        <f>IF(A232="","",TEXT(A232,"yyyy-mm"))</f>
        <v/>
      </c>
      <c r="G232" s="31" t="n"/>
    </row>
    <row r="233">
      <c r="A233" s="45" t="n"/>
      <c r="B233">
        <f>IF(A233="","",TEXT(A233,"yyyy-mm"))</f>
        <v/>
      </c>
      <c r="G233" s="31" t="n"/>
    </row>
    <row r="234">
      <c r="A234" s="45" t="n"/>
      <c r="B234">
        <f>IF(A234="","",TEXT(A234,"yyyy-mm"))</f>
        <v/>
      </c>
      <c r="G234" s="31" t="n"/>
    </row>
    <row r="235">
      <c r="A235" s="45" t="n"/>
      <c r="B235">
        <f>IF(A235="","",TEXT(A235,"yyyy-mm"))</f>
        <v/>
      </c>
      <c r="G235" s="31" t="n"/>
    </row>
    <row r="236">
      <c r="A236" s="45" t="n"/>
      <c r="B236">
        <f>IF(A236="","",TEXT(A236,"yyyy-mm"))</f>
        <v/>
      </c>
      <c r="G236" s="31" t="n"/>
    </row>
    <row r="237">
      <c r="A237" s="45" t="n"/>
      <c r="B237">
        <f>IF(A237="","",TEXT(A237,"yyyy-mm"))</f>
        <v/>
      </c>
      <c r="G237" s="31" t="n"/>
    </row>
    <row r="238">
      <c r="A238" s="45" t="n"/>
      <c r="B238">
        <f>IF(A238="","",TEXT(A238,"yyyy-mm"))</f>
        <v/>
      </c>
      <c r="G238" s="31" t="n"/>
    </row>
    <row r="239">
      <c r="A239" s="45" t="n"/>
      <c r="B239">
        <f>IF(A239="","",TEXT(A239,"yyyy-mm"))</f>
        <v/>
      </c>
      <c r="G239" s="31" t="n"/>
    </row>
    <row r="240">
      <c r="A240" s="45" t="n"/>
      <c r="B240">
        <f>IF(A240="","",TEXT(A240,"yyyy-mm"))</f>
        <v/>
      </c>
      <c r="G240" s="31" t="n"/>
    </row>
    <row r="241">
      <c r="A241" s="45" t="n"/>
      <c r="B241">
        <f>IF(A241="","",TEXT(A241,"yyyy-mm"))</f>
        <v/>
      </c>
      <c r="G241" s="31" t="n"/>
    </row>
    <row r="242">
      <c r="A242" s="45" t="n"/>
      <c r="B242">
        <f>IF(A242="","",TEXT(A242,"yyyy-mm"))</f>
        <v/>
      </c>
      <c r="G242" s="31" t="n"/>
    </row>
    <row r="243">
      <c r="A243" s="45" t="n"/>
      <c r="B243">
        <f>IF(A243="","",TEXT(A243,"yyyy-mm"))</f>
        <v/>
      </c>
      <c r="G243" s="31" t="n"/>
    </row>
    <row r="244">
      <c r="A244" s="45" t="n"/>
      <c r="B244">
        <f>IF(A244="","",TEXT(A244,"yyyy-mm"))</f>
        <v/>
      </c>
      <c r="G244" s="31" t="n"/>
    </row>
    <row r="245">
      <c r="A245" s="45" t="n"/>
      <c r="B245">
        <f>IF(A245="","",TEXT(A245,"yyyy-mm"))</f>
        <v/>
      </c>
      <c r="G245" s="31" t="n"/>
    </row>
    <row r="246">
      <c r="A246" s="45" t="n"/>
      <c r="B246">
        <f>IF(A246="","",TEXT(A246,"yyyy-mm"))</f>
        <v/>
      </c>
      <c r="G246" s="31" t="n"/>
    </row>
    <row r="247">
      <c r="A247" s="45" t="n"/>
      <c r="B247">
        <f>IF(A247="","",TEXT(A247,"yyyy-mm"))</f>
        <v/>
      </c>
      <c r="G247" s="31" t="n"/>
    </row>
    <row r="248">
      <c r="A248" s="45" t="n"/>
      <c r="B248">
        <f>IF(A248="","",TEXT(A248,"yyyy-mm"))</f>
        <v/>
      </c>
      <c r="G248" s="31" t="n"/>
    </row>
    <row r="249">
      <c r="A249" s="45" t="n"/>
      <c r="B249">
        <f>IF(A249="","",TEXT(A249,"yyyy-mm"))</f>
        <v/>
      </c>
      <c r="G249" s="31" t="n"/>
    </row>
    <row r="250">
      <c r="A250" s="45" t="n"/>
      <c r="B250">
        <f>IF(A250="","",TEXT(A250,"yyyy-mm"))</f>
        <v/>
      </c>
      <c r="G250" s="31" t="n"/>
    </row>
    <row r="251">
      <c r="A251" s="45" t="n"/>
      <c r="B251">
        <f>IF(A251="","",TEXT(A251,"yyyy-mm"))</f>
        <v/>
      </c>
      <c r="G251" s="31" t="n"/>
    </row>
    <row r="252">
      <c r="A252" s="45" t="n"/>
      <c r="B252">
        <f>IF(A252="","",TEXT(A252,"yyyy-mm"))</f>
        <v/>
      </c>
      <c r="G252" s="31" t="n"/>
    </row>
    <row r="253">
      <c r="A253" s="45" t="n"/>
      <c r="B253">
        <f>IF(A253="","",TEXT(A253,"yyyy-mm"))</f>
        <v/>
      </c>
      <c r="G253" s="31" t="n"/>
    </row>
    <row r="254">
      <c r="A254" s="45" t="n"/>
      <c r="B254">
        <f>IF(A254="","",TEXT(A254,"yyyy-mm"))</f>
        <v/>
      </c>
      <c r="G254" s="31" t="n"/>
    </row>
    <row r="255">
      <c r="A255" s="45" t="n"/>
      <c r="B255">
        <f>IF(A255="","",TEXT(A255,"yyyy-mm"))</f>
        <v/>
      </c>
      <c r="G255" s="31" t="n"/>
    </row>
    <row r="256">
      <c r="A256" s="45" t="n"/>
      <c r="B256">
        <f>IF(A256="","",TEXT(A256,"yyyy-mm"))</f>
        <v/>
      </c>
      <c r="G256" s="31" t="n"/>
    </row>
    <row r="257">
      <c r="A257" s="45" t="n"/>
      <c r="B257">
        <f>IF(A257="","",TEXT(A257,"yyyy-mm"))</f>
        <v/>
      </c>
      <c r="G257" s="31" t="n"/>
    </row>
    <row r="258">
      <c r="A258" s="45" t="n"/>
      <c r="B258">
        <f>IF(A258="","",TEXT(A258,"yyyy-mm"))</f>
        <v/>
      </c>
      <c r="G258" s="31" t="n"/>
    </row>
    <row r="259">
      <c r="A259" s="45" t="n"/>
      <c r="B259">
        <f>IF(A259="","",TEXT(A259,"yyyy-mm"))</f>
        <v/>
      </c>
      <c r="G259" s="31" t="n"/>
    </row>
    <row r="260">
      <c r="A260" s="45" t="n"/>
      <c r="B260">
        <f>IF(A260="","",TEXT(A260,"yyyy-mm"))</f>
        <v/>
      </c>
      <c r="G260" s="31" t="n"/>
    </row>
    <row r="261">
      <c r="A261" s="45" t="n"/>
      <c r="B261">
        <f>IF(A261="","",TEXT(A261,"yyyy-mm"))</f>
        <v/>
      </c>
      <c r="G261" s="31" t="n"/>
    </row>
    <row r="262">
      <c r="A262" s="45" t="n"/>
      <c r="B262">
        <f>IF(A262="","",TEXT(A262,"yyyy-mm"))</f>
        <v/>
      </c>
      <c r="G262" s="31" t="n"/>
    </row>
    <row r="263">
      <c r="A263" s="45" t="n"/>
      <c r="B263">
        <f>IF(A263="","",TEXT(A263,"yyyy-mm"))</f>
        <v/>
      </c>
      <c r="G263" s="31" t="n"/>
    </row>
    <row r="264">
      <c r="A264" s="45" t="n"/>
      <c r="B264">
        <f>IF(A264="","",TEXT(A264,"yyyy-mm"))</f>
        <v/>
      </c>
      <c r="G264" s="31" t="n"/>
    </row>
    <row r="265">
      <c r="A265" s="45" t="n"/>
      <c r="B265">
        <f>IF(A265="","",TEXT(A265,"yyyy-mm"))</f>
        <v/>
      </c>
      <c r="G265" s="31" t="n"/>
    </row>
    <row r="266">
      <c r="A266" s="45" t="n"/>
      <c r="B266">
        <f>IF(A266="","",TEXT(A266,"yyyy-mm"))</f>
        <v/>
      </c>
      <c r="G266" s="31" t="n"/>
    </row>
    <row r="267">
      <c r="A267" s="45" t="n"/>
      <c r="B267">
        <f>IF(A267="","",TEXT(A267,"yyyy-mm"))</f>
        <v/>
      </c>
      <c r="G267" s="31" t="n"/>
    </row>
    <row r="268">
      <c r="A268" s="45" t="n"/>
      <c r="B268">
        <f>IF(A268="","",TEXT(A268,"yyyy-mm"))</f>
        <v/>
      </c>
      <c r="G268" s="31" t="n"/>
    </row>
    <row r="269">
      <c r="A269" s="45" t="n"/>
      <c r="B269">
        <f>IF(A269="","",TEXT(A269,"yyyy-mm"))</f>
        <v/>
      </c>
      <c r="G269" s="31" t="n"/>
    </row>
    <row r="270">
      <c r="A270" s="45" t="n"/>
      <c r="B270">
        <f>IF(A270="","",TEXT(A270,"yyyy-mm"))</f>
        <v/>
      </c>
      <c r="G270" s="31" t="n"/>
    </row>
    <row r="271">
      <c r="A271" s="45" t="n"/>
      <c r="B271">
        <f>IF(A271="","",TEXT(A271,"yyyy-mm"))</f>
        <v/>
      </c>
      <c r="G271" s="31" t="n"/>
    </row>
    <row r="272">
      <c r="A272" s="45" t="n"/>
      <c r="B272">
        <f>IF(A272="","",TEXT(A272,"yyyy-mm"))</f>
        <v/>
      </c>
      <c r="G272" s="31" t="n"/>
    </row>
    <row r="273">
      <c r="A273" s="45" t="n"/>
      <c r="B273">
        <f>IF(A273="","",TEXT(A273,"yyyy-mm"))</f>
        <v/>
      </c>
      <c r="G273" s="31" t="n"/>
    </row>
    <row r="274">
      <c r="A274" s="45" t="n"/>
      <c r="B274">
        <f>IF(A274="","",TEXT(A274,"yyyy-mm"))</f>
        <v/>
      </c>
      <c r="G274" s="31" t="n"/>
    </row>
    <row r="275">
      <c r="A275" s="45" t="n"/>
      <c r="B275">
        <f>IF(A275="","",TEXT(A275,"yyyy-mm"))</f>
        <v/>
      </c>
      <c r="G275" s="31" t="n"/>
    </row>
    <row r="276">
      <c r="A276" s="45" t="n"/>
      <c r="B276">
        <f>IF(A276="","",TEXT(A276,"yyyy-mm"))</f>
        <v/>
      </c>
      <c r="G276" s="31" t="n"/>
    </row>
    <row r="277">
      <c r="A277" s="45" t="n"/>
      <c r="B277">
        <f>IF(A277="","",TEXT(A277,"yyyy-mm"))</f>
        <v/>
      </c>
      <c r="G277" s="31" t="n"/>
    </row>
    <row r="278">
      <c r="A278" s="45" t="n"/>
      <c r="B278">
        <f>IF(A278="","",TEXT(A278,"yyyy-mm"))</f>
        <v/>
      </c>
      <c r="G278" s="31" t="n"/>
    </row>
    <row r="279">
      <c r="A279" s="45" t="n"/>
      <c r="B279">
        <f>IF(A279="","",TEXT(A279,"yyyy-mm"))</f>
        <v/>
      </c>
      <c r="G279" s="31" t="n"/>
    </row>
    <row r="280">
      <c r="A280" s="45" t="n"/>
      <c r="B280">
        <f>IF(A280="","",TEXT(A280,"yyyy-mm"))</f>
        <v/>
      </c>
      <c r="G280" s="31" t="n"/>
    </row>
    <row r="281">
      <c r="A281" s="45" t="n"/>
      <c r="B281">
        <f>IF(A281="","",TEXT(A281,"yyyy-mm"))</f>
        <v/>
      </c>
      <c r="G281" s="31" t="n"/>
    </row>
    <row r="282">
      <c r="A282" s="45" t="n"/>
      <c r="B282">
        <f>IF(A282="","",TEXT(A282,"yyyy-mm"))</f>
        <v/>
      </c>
      <c r="G282" s="31" t="n"/>
    </row>
    <row r="283">
      <c r="A283" s="45" t="n"/>
      <c r="B283">
        <f>IF(A283="","",TEXT(A283,"yyyy-mm"))</f>
        <v/>
      </c>
      <c r="G283" s="31" t="n"/>
    </row>
    <row r="284">
      <c r="A284" s="45" t="n"/>
      <c r="B284">
        <f>IF(A284="","",TEXT(A284,"yyyy-mm"))</f>
        <v/>
      </c>
      <c r="G284" s="31" t="n"/>
    </row>
    <row r="285">
      <c r="A285" s="45" t="n"/>
      <c r="B285">
        <f>IF(A285="","",TEXT(A285,"yyyy-mm"))</f>
        <v/>
      </c>
      <c r="G285" s="31" t="n"/>
    </row>
    <row r="286">
      <c r="A286" s="45" t="n"/>
      <c r="B286">
        <f>IF(A286="","",TEXT(A286,"yyyy-mm"))</f>
        <v/>
      </c>
      <c r="G286" s="31" t="n"/>
    </row>
    <row r="287">
      <c r="A287" s="45" t="n"/>
      <c r="B287">
        <f>IF(A287="","",TEXT(A287,"yyyy-mm"))</f>
        <v/>
      </c>
      <c r="G287" s="31" t="n"/>
    </row>
    <row r="288">
      <c r="A288" s="45" t="n"/>
      <c r="B288">
        <f>IF(A288="","",TEXT(A288,"yyyy-mm"))</f>
        <v/>
      </c>
      <c r="G288" s="31" t="n"/>
    </row>
    <row r="289">
      <c r="A289" s="45" t="n"/>
      <c r="B289">
        <f>IF(A289="","",TEXT(A289,"yyyy-mm"))</f>
        <v/>
      </c>
      <c r="G289" s="31" t="n"/>
    </row>
    <row r="290">
      <c r="A290" s="45" t="n"/>
      <c r="B290">
        <f>IF(A290="","",TEXT(A290,"yyyy-mm"))</f>
        <v/>
      </c>
      <c r="G290" s="31" t="n"/>
    </row>
    <row r="291">
      <c r="A291" s="45" t="n"/>
      <c r="B291">
        <f>IF(A291="","",TEXT(A291,"yyyy-mm"))</f>
        <v/>
      </c>
      <c r="G291" s="31" t="n"/>
    </row>
    <row r="292">
      <c r="A292" s="45" t="n"/>
      <c r="B292">
        <f>IF(A292="","",TEXT(A292,"yyyy-mm"))</f>
        <v/>
      </c>
      <c r="G292" s="31" t="n"/>
    </row>
    <row r="293">
      <c r="A293" s="45" t="n"/>
      <c r="B293">
        <f>IF(A293="","",TEXT(A293,"yyyy-mm"))</f>
        <v/>
      </c>
      <c r="G293" s="31" t="n"/>
    </row>
    <row r="294">
      <c r="A294" s="45" t="n"/>
      <c r="B294">
        <f>IF(A294="","",TEXT(A294,"yyyy-mm"))</f>
        <v/>
      </c>
      <c r="G294" s="31" t="n"/>
    </row>
    <row r="295">
      <c r="A295" s="45" t="n"/>
      <c r="B295">
        <f>IF(A295="","",TEXT(A295,"yyyy-mm"))</f>
        <v/>
      </c>
      <c r="G295" s="31" t="n"/>
    </row>
    <row r="296">
      <c r="A296" s="45" t="n"/>
      <c r="B296">
        <f>IF(A296="","",TEXT(A296,"yyyy-mm"))</f>
        <v/>
      </c>
      <c r="G296" s="31" t="n"/>
    </row>
    <row r="297">
      <c r="A297" s="45" t="n"/>
      <c r="B297">
        <f>IF(A297="","",TEXT(A297,"yyyy-mm"))</f>
        <v/>
      </c>
      <c r="G297" s="31" t="n"/>
    </row>
    <row r="298">
      <c r="A298" s="45" t="n"/>
      <c r="B298">
        <f>IF(A298="","",TEXT(A298,"yyyy-mm"))</f>
        <v/>
      </c>
      <c r="G298" s="31" t="n"/>
    </row>
    <row r="299">
      <c r="A299" s="45" t="n"/>
      <c r="B299">
        <f>IF(A299="","",TEXT(A299,"yyyy-mm"))</f>
        <v/>
      </c>
      <c r="G299" s="31" t="n"/>
    </row>
    <row r="300">
      <c r="A300" s="45" t="n"/>
      <c r="B300">
        <f>IF(A300="","",TEXT(A300,"yyyy-mm"))</f>
        <v/>
      </c>
      <c r="G300" s="31" t="n"/>
    </row>
    <row r="301">
      <c r="A301" s="45" t="n"/>
      <c r="B301">
        <f>IF(A301="","",TEXT(A301,"yyyy-mm"))</f>
        <v/>
      </c>
      <c r="G301" s="31" t="n"/>
    </row>
    <row r="302">
      <c r="A302" s="45" t="n"/>
      <c r="B302">
        <f>IF(A302="","",TEXT(A302,"yyyy-mm"))</f>
        <v/>
      </c>
      <c r="G302" s="31" t="n"/>
    </row>
    <row r="303">
      <c r="A303" s="45" t="n"/>
      <c r="B303">
        <f>IF(A303="","",TEXT(A303,"yyyy-mm"))</f>
        <v/>
      </c>
      <c r="G303" s="31" t="n"/>
    </row>
    <row r="304">
      <c r="A304" s="45" t="n"/>
      <c r="B304">
        <f>IF(A304="","",TEXT(A304,"yyyy-mm"))</f>
        <v/>
      </c>
      <c r="G304" s="31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RESUMO MENSAL E LIMITES</t>
        </is>
      </c>
    </row>
    <row r="3">
      <c r="A3" s="12" t="inlineStr">
        <is>
          <t>Mês analisado</t>
        </is>
      </c>
      <c r="B3" s="32" t="inlineStr">
        <is>
          <t>2026-04</t>
        </is>
      </c>
      <c r="D3" s="12" t="inlineStr">
        <is>
          <t>Renda líquida base</t>
        </is>
      </c>
      <c r="E3" s="33">
        <f>Config!B6</f>
        <v/>
      </c>
      <c r="F3" s="12" t="inlineStr">
        <is>
          <t>Benefício alimentação</t>
        </is>
      </c>
      <c r="G3" s="33">
        <f>Config!B7</f>
        <v/>
      </c>
    </row>
    <row r="5">
      <c r="A5" s="12" t="inlineStr">
        <is>
          <t>Categoria</t>
        </is>
      </c>
      <c r="B5" s="12" t="inlineStr">
        <is>
          <t>Limite</t>
        </is>
      </c>
      <c r="C5" s="12" t="inlineStr">
        <is>
          <t>Gasto do Mês</t>
        </is>
      </c>
      <c r="D5" s="12" t="inlineStr">
        <is>
          <t>Saldo</t>
        </is>
      </c>
      <c r="E5" s="12" t="inlineStr">
        <is>
          <t>% Consumido</t>
        </is>
      </c>
      <c r="F5" s="12" t="inlineStr">
        <is>
          <t>Status</t>
        </is>
      </c>
      <c r="G5" s="12" t="inlineStr">
        <is>
          <t>Tipo</t>
        </is>
      </c>
    </row>
    <row r="6">
      <c r="A6" s="13" t="inlineStr">
        <is>
          <t>Moradia</t>
        </is>
      </c>
      <c r="B6" s="14">
        <f>XLOOKUP(A6,Limites!A4:A13,Limites!B4:B13,0)</f>
        <v/>
      </c>
      <c r="C6" s="14">
        <f>SUMIFS(Lancamentos!$G$4:$G$304,Lancamentos!$C$4:$C$304,$A6,Lancamentos!$B$4:$B$304,$B$3,Lancamentos!$E$4:$E$304,"gasto")</f>
        <v/>
      </c>
      <c r="D6" s="14">
        <f>B6-C6</f>
        <v/>
      </c>
      <c r="E6" s="15">
        <f>IFERROR(C6/B6,0)</f>
        <v/>
      </c>
      <c r="F6" s="13">
        <f>IF(C6&gt;B6,"ESTOURADO",IF(C6&gt;=B6*0.85,"ALERTA","OK"))</f>
        <v/>
      </c>
      <c r="G6" s="13">
        <f>XLOOKUP(A6,Limites!A4:A13,Limites!C4:C13,"")</f>
        <v/>
      </c>
    </row>
    <row r="7">
      <c r="A7" s="13" t="inlineStr">
        <is>
          <t>Carro</t>
        </is>
      </c>
      <c r="B7" s="14">
        <f>XLOOKUP(A7,Limites!A4:A13,Limites!B4:B13,0)</f>
        <v/>
      </c>
      <c r="C7" s="14">
        <f>SUMIFS(Lancamentos!$G$4:$G$304,Lancamentos!$C$4:$C$304,$A7,Lancamentos!$B$4:$B$304,$B$3,Lancamentos!$E$4:$E$304,"gasto")</f>
        <v/>
      </c>
      <c r="D7" s="14">
        <f>B7-C7</f>
        <v/>
      </c>
      <c r="E7" s="15">
        <f>IFERROR(C7/B7,0)</f>
        <v/>
      </c>
      <c r="F7" s="13">
        <f>IF(C7&gt;B7,"ESTOURADO",IF(C7&gt;=B7*0.85,"ALERTA","OK"))</f>
        <v/>
      </c>
      <c r="G7" s="13">
        <f>XLOOKUP(A7,Limites!A4:A13,Limites!C4:C13,"")</f>
        <v/>
      </c>
    </row>
    <row r="8">
      <c r="A8" s="13" t="inlineStr">
        <is>
          <t>Internet e Celular</t>
        </is>
      </c>
      <c r="B8" s="14">
        <f>XLOOKUP(A8,Limites!A4:A13,Limites!B4:B13,0)</f>
        <v/>
      </c>
      <c r="C8" s="14">
        <f>SUMIFS(Lancamentos!$G$4:$G$304,Lancamentos!$C$4:$C$304,$A8,Lancamentos!$B$4:$B$304,$B$3,Lancamentos!$E$4:$E$304,"gasto")</f>
        <v/>
      </c>
      <c r="D8" s="14">
        <f>B8-C8</f>
        <v/>
      </c>
      <c r="E8" s="15">
        <f>IFERROR(C8/B8,0)</f>
        <v/>
      </c>
      <c r="F8" s="13">
        <f>IF(C8&gt;B8,"ESTOURADO",IF(C8&gt;=B8*0.85,"ALERTA","OK"))</f>
        <v/>
      </c>
      <c r="G8" s="13">
        <f>XLOOKUP(A8,Limites!A4:A13,Limites!C4:C13,"")</f>
        <v/>
      </c>
    </row>
    <row r="9">
      <c r="A9" s="13" t="inlineStr">
        <is>
          <t>Luz e Streaming</t>
        </is>
      </c>
      <c r="B9" s="14">
        <f>XLOOKUP(A9,Limites!A4:A13,Limites!B4:B13,0)</f>
        <v/>
      </c>
      <c r="C9" s="14">
        <f>SUMIFS(Lancamentos!$G$4:$G$304,Lancamentos!$C$4:$C$304,$A9,Lancamentos!$B$4:$B$304,$B$3,Lancamentos!$E$4:$E$304,"gasto")</f>
        <v/>
      </c>
      <c r="D9" s="14">
        <f>B9-C9</f>
        <v/>
      </c>
      <c r="E9" s="15">
        <f>IFERROR(C9/B9,0)</f>
        <v/>
      </c>
      <c r="F9" s="13">
        <f>IF(C9&gt;B9,"ESTOURADO",IF(C9&gt;=B9*0.85,"ALERTA","OK"))</f>
        <v/>
      </c>
      <c r="G9" s="13">
        <f>XLOOKUP(A9,Limites!A4:A13,Limites!C4:C13,"")</f>
        <v/>
      </c>
    </row>
    <row r="10">
      <c r="A10" s="13" t="inlineStr">
        <is>
          <t>Pet</t>
        </is>
      </c>
      <c r="B10" s="14">
        <f>XLOOKUP(A10,Limites!A4:A13,Limites!B4:B13,0)</f>
        <v/>
      </c>
      <c r="C10" s="14">
        <f>SUMIFS(Lancamentos!$G$4:$G$304,Lancamentos!$C$4:$C$304,$A10,Lancamentos!$B$4:$B$304,$B$3,Lancamentos!$E$4:$E$304,"gasto")</f>
        <v/>
      </c>
      <c r="D10" s="14">
        <f>B10-C10</f>
        <v/>
      </c>
      <c r="E10" s="15">
        <f>IFERROR(C10/B10,0)</f>
        <v/>
      </c>
      <c r="F10" s="13">
        <f>IF(C10&gt;B10,"ESTOURADO",IF(C10&gt;=B10*0.85,"ALERTA","OK"))</f>
        <v/>
      </c>
      <c r="G10" s="13">
        <f>XLOOKUP(A10,Limites!A4:A13,Limites!C4:C13,"")</f>
        <v/>
      </c>
    </row>
    <row r="11">
      <c r="A11" s="13" t="inlineStr">
        <is>
          <t>Combustível</t>
        </is>
      </c>
      <c r="B11" s="14">
        <f>XLOOKUP(A11,Limites!A4:A13,Limites!B4:B13,0)</f>
        <v/>
      </c>
      <c r="C11" s="14">
        <f>SUMIFS(Lancamentos!$G$4:$G$304,Lancamentos!$C$4:$C$304,$A11,Lancamentos!$B$4:$B$304,$B$3,Lancamentos!$E$4:$E$304,"gasto")</f>
        <v/>
      </c>
      <c r="D11" s="14">
        <f>B11-C11</f>
        <v/>
      </c>
      <c r="E11" s="15">
        <f>IFERROR(C11/B11,0)</f>
        <v/>
      </c>
      <c r="F11" s="13">
        <f>IF(C11&gt;B11,"ESTOURADO",IF(C11&gt;=B11*0.85,"ALERTA","OK"))</f>
        <v/>
      </c>
      <c r="G11" s="13">
        <f>XLOOKUP(A11,Limites!A4:A13,Limites!C4:C13,"")</f>
        <v/>
      </c>
    </row>
    <row r="12">
      <c r="A12" s="13" t="inlineStr">
        <is>
          <t>Lazer</t>
        </is>
      </c>
      <c r="B12" s="14">
        <f>XLOOKUP(A12,Limites!A4:A13,Limites!B4:B13,0)</f>
        <v/>
      </c>
      <c r="C12" s="14">
        <f>SUMIFS(Lancamentos!$G$4:$G$304,Lancamentos!$C$4:$C$304,$A12,Lancamentos!$B$4:$B$304,$B$3,Lancamentos!$E$4:$E$304,"gasto")</f>
        <v/>
      </c>
      <c r="D12" s="14">
        <f>B12-C12</f>
        <v/>
      </c>
      <c r="E12" s="15">
        <f>IFERROR(C12/B12,0)</f>
        <v/>
      </c>
      <c r="F12" s="13">
        <f>IF(C12&gt;B12,"ESTOURADO",IF(C12&gt;=B12*0.85,"ALERTA","OK"))</f>
        <v/>
      </c>
      <c r="G12" s="13">
        <f>XLOOKUP(A12,Limites!A4:A13,Limites!C4:C13,"")</f>
        <v/>
      </c>
    </row>
    <row r="13">
      <c r="A13" s="13" t="inlineStr">
        <is>
          <t>Saúde e Farmácia</t>
        </is>
      </c>
      <c r="B13" s="14">
        <f>XLOOKUP(A13,Limites!A4:A13,Limites!B4:B13,0)</f>
        <v/>
      </c>
      <c r="C13" s="14">
        <f>SUMIFS(Lancamentos!$G$4:$G$304,Lancamentos!$C$4:$C$304,$A13,Lancamentos!$B$4:$B$304,$B$3,Lancamentos!$E$4:$E$304,"gasto")</f>
        <v/>
      </c>
      <c r="D13" s="14">
        <f>B13-C13</f>
        <v/>
      </c>
      <c r="E13" s="15">
        <f>IFERROR(C13/B13,0)</f>
        <v/>
      </c>
      <c r="F13" s="13">
        <f>IF(C13&gt;B13,"ESTOURADO",IF(C13&gt;=B13*0.85,"ALERTA","OK"))</f>
        <v/>
      </c>
      <c r="G13" s="13">
        <f>XLOOKUP(A13,Limites!A4:A13,Limites!C4:C13,"")</f>
        <v/>
      </c>
    </row>
    <row r="14">
      <c r="A14" s="13" t="inlineStr">
        <is>
          <t>Imprevistos</t>
        </is>
      </c>
      <c r="B14" s="14">
        <f>XLOOKUP(A14,Limites!A4:A13,Limites!B4:B13,0)</f>
        <v/>
      </c>
      <c r="C14" s="14">
        <f>SUMIFS(Lancamentos!$G$4:$G$304,Lancamentos!$C$4:$C$304,$A14,Lancamentos!$B$4:$B$304,$B$3,Lancamentos!$E$4:$E$304,"gasto")</f>
        <v/>
      </c>
      <c r="D14" s="14">
        <f>B14-C14</f>
        <v/>
      </c>
      <c r="E14" s="15">
        <f>IFERROR(C14/B14,0)</f>
        <v/>
      </c>
      <c r="F14" s="13">
        <f>IF(C14&gt;B14,"ESTOURADO",IF(C14&gt;=B14*0.85,"ALERTA","OK"))</f>
        <v/>
      </c>
      <c r="G14" s="13">
        <f>XLOOKUP(A14,Limites!A4:A13,Limites!C4:C13,"")</f>
        <v/>
      </c>
    </row>
    <row r="15">
      <c r="A15" s="13" t="inlineStr">
        <is>
          <t>Reserva de Emergência</t>
        </is>
      </c>
      <c r="B15" s="14">
        <f>XLOOKUP(A15,Limites!A4:A13,Limites!B4:B13,0)</f>
        <v/>
      </c>
      <c r="C15" s="14">
        <f>SUMIFS(Lancamentos!$G$4:$G$304,Lancamentos!$C$4:$C$304,$A15,Lancamentos!$B$4:$B$304,$B$3,Lancamentos!$E$4:$E$304,"gasto")</f>
        <v/>
      </c>
      <c r="D15" s="14">
        <f>B15-C15</f>
        <v/>
      </c>
      <c r="E15" s="15">
        <f>IFERROR(C15/B15,0)</f>
        <v/>
      </c>
      <c r="F15" s="13">
        <f>IF(C15&gt;B15,"ESTOURADO",IF(C15&gt;=B15*0.85,"ALERTA","OK"))</f>
        <v/>
      </c>
      <c r="G15" s="13">
        <f>XLOOKUP(A15,Limites!A4:A13,Limites!C4:C13,"")</f>
        <v/>
      </c>
    </row>
    <row r="17">
      <c r="A17" s="12" t="inlineStr">
        <is>
          <t>Total do orçamento</t>
        </is>
      </c>
      <c r="B17" s="34">
        <f>SUM(B6:B15)</f>
        <v/>
      </c>
      <c r="C17" s="34">
        <f>SUM(C6:C15)</f>
        <v/>
      </c>
      <c r="D17" s="34">
        <f>SUM(D6:D15)</f>
        <v/>
      </c>
      <c r="E17" s="35">
        <f>IFERROR(C17/B17,0)</f>
        <v/>
      </c>
      <c r="F17" s="12">
        <f>IF(C17&gt;B17,"ESTOURADO",IF(C17&gt;=B17*0.85,"ALERTA","OK"))</f>
        <v/>
      </c>
    </row>
    <row r="20">
      <c r="A20" s="12" t="inlineStr">
        <is>
          <t>Receitas lançadas no mês</t>
        </is>
      </c>
      <c r="B20" s="36">
        <f>SUMIFS(Lancamentos!$G$4:$G$304,Lancamentos!$B$4:$B$304,$B$3,Lancamentos!$E$4:$E$304,"receita")</f>
        <v/>
      </c>
      <c r="D20" s="12" t="inlineStr">
        <is>
          <t>Caixa projetado</t>
        </is>
      </c>
      <c r="E20" s="37">
        <f>E3+B20-C17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38" customWidth="1" min="5" max="5"/>
    <col width="14" customWidth="1" min="6" max="6"/>
  </cols>
  <sheetData>
    <row r="1">
      <c r="A1" s="1" t="inlineStr">
        <is>
          <t>FLUXO DE CAIXA MENSAL</t>
        </is>
      </c>
    </row>
    <row r="3">
      <c r="A3" s="12" t="inlineStr">
        <is>
          <t>Item</t>
        </is>
      </c>
      <c r="B3" s="12" t="inlineStr">
        <is>
          <t>Valor</t>
        </is>
      </c>
      <c r="C3" s="12" t="inlineStr">
        <is>
          <t>Tipo</t>
        </is>
      </c>
      <c r="D3" s="12" t="inlineStr">
        <is>
          <t>Origem</t>
        </is>
      </c>
      <c r="E3" s="12" t="inlineStr">
        <is>
          <t>Observação</t>
        </is>
      </c>
      <c r="F3" s="12" t="inlineStr">
        <is>
          <t>Status</t>
        </is>
      </c>
    </row>
    <row r="4">
      <c r="A4" s="13" t="inlineStr">
        <is>
          <t>Renda líquida do casal</t>
        </is>
      </c>
      <c r="B4" s="28" t="n">
        <v>5300</v>
      </c>
      <c r="C4" s="13" t="inlineStr">
        <is>
          <t>Entrada</t>
        </is>
      </c>
      <c r="D4" s="13" t="inlineStr">
        <is>
          <t>Config</t>
        </is>
      </c>
      <c r="E4" s="13" t="inlineStr">
        <is>
          <t>Base usada no planejamento</t>
        </is>
      </c>
      <c r="F4" s="13" t="inlineStr">
        <is>
          <t>Ativo</t>
        </is>
      </c>
    </row>
    <row r="5">
      <c r="A5" s="13" t="inlineStr">
        <is>
          <t>Benefício alimentação</t>
        </is>
      </c>
      <c r="B5" s="28" t="n">
        <v>1400</v>
      </c>
      <c r="C5" s="13" t="inlineStr">
        <is>
          <t>Benefício</t>
        </is>
      </c>
      <c r="D5" s="13" t="inlineStr">
        <is>
          <t>Config</t>
        </is>
      </c>
      <c r="E5" s="13" t="inlineStr">
        <is>
          <t>Não entra como caixa, mas alivia o mercado</t>
        </is>
      </c>
      <c r="F5" s="13" t="inlineStr">
        <is>
          <t>Ativo</t>
        </is>
      </c>
    </row>
    <row r="6">
      <c r="A6" s="13" t="inlineStr">
        <is>
          <t>Total orçamento planejado</t>
        </is>
      </c>
      <c r="B6" s="28">
        <f>Resumo_Mensal!B17</f>
        <v/>
      </c>
      <c r="C6" s="13" t="inlineStr">
        <is>
          <t>Saída</t>
        </is>
      </c>
      <c r="D6" s="13" t="inlineStr">
        <is>
          <t>Resumo</t>
        </is>
      </c>
      <c r="E6" s="13" t="inlineStr">
        <is>
          <t>Soma dos limites mensais</t>
        </is>
      </c>
      <c r="F6" s="13" t="inlineStr">
        <is>
          <t>Ativo</t>
        </is>
      </c>
    </row>
    <row r="7">
      <c r="A7" s="13" t="inlineStr">
        <is>
          <t>Gasto lançado no mês</t>
        </is>
      </c>
      <c r="B7" s="28">
        <f>Resumo_Mensal!C17</f>
        <v/>
      </c>
      <c r="C7" s="13" t="inlineStr">
        <is>
          <t>Saída</t>
        </is>
      </c>
      <c r="D7" s="13" t="inlineStr">
        <is>
          <t>Resumo</t>
        </is>
      </c>
      <c r="E7" s="13" t="inlineStr">
        <is>
          <t>Valores já registrados</t>
        </is>
      </c>
      <c r="F7" s="13" t="inlineStr">
        <is>
          <t>Dinâmico</t>
        </is>
      </c>
    </row>
    <row r="8">
      <c r="A8" s="13" t="inlineStr">
        <is>
          <t>Saldo ainda disponível</t>
        </is>
      </c>
      <c r="B8" s="28">
        <f>Resumo_Mensal!D17</f>
        <v/>
      </c>
      <c r="C8" s="13" t="inlineStr">
        <is>
          <t>Saldo</t>
        </is>
      </c>
      <c r="D8" s="13" t="inlineStr">
        <is>
          <t>Resumo</t>
        </is>
      </c>
      <c r="E8" s="13" t="inlineStr">
        <is>
          <t>Quanto ainda cabe no orçamento</t>
        </is>
      </c>
      <c r="F8" s="13" t="inlineStr">
        <is>
          <t>Dinâmico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</cols>
  <sheetData>
    <row r="1">
      <c r="A1" s="1" t="inlineStr">
        <is>
          <t>PLANO ESTRATÉGICO RECOMENDADO</t>
        </is>
      </c>
    </row>
    <row r="3">
      <c r="A3" s="12" t="inlineStr">
        <is>
          <t>Item</t>
        </is>
      </c>
      <c r="B3" s="12" t="inlineStr">
        <is>
          <t>Valor</t>
        </is>
      </c>
      <c r="C3" s="12" t="inlineStr">
        <is>
          <t>Observação</t>
        </is>
      </c>
    </row>
    <row r="4">
      <c r="A4" s="13" t="inlineStr">
        <is>
          <t>Renda líquida estimada do casal</t>
        </is>
      </c>
      <c r="B4" s="28" t="n">
        <v>5300</v>
      </c>
      <c r="C4" s="13" t="inlineStr">
        <is>
          <t>Base do orçamento</t>
        </is>
      </c>
    </row>
    <row r="5">
      <c r="A5" s="13" t="inlineStr">
        <is>
          <t>Benefício alimentação</t>
        </is>
      </c>
      <c r="B5" s="28" t="n">
        <v>1400</v>
      </c>
      <c r="C5" s="13" t="inlineStr">
        <is>
          <t>Ajuda a segurar mercado e refeições</t>
        </is>
      </c>
    </row>
    <row r="6">
      <c r="A6" s="13" t="inlineStr">
        <is>
          <t>Meta da reserva de emergência</t>
        </is>
      </c>
      <c r="B6" s="28" t="n">
        <v>12000</v>
      </c>
      <c r="C6" s="13" t="inlineStr">
        <is>
          <t>Meta mínima sugerida</t>
        </is>
      </c>
    </row>
    <row r="7">
      <c r="A7" s="13" t="inlineStr">
        <is>
          <t>Aporte mensal ideal para reserva</t>
        </is>
      </c>
      <c r="B7" s="28" t="n">
        <v>1000</v>
      </c>
      <c r="C7" s="13" t="inlineStr">
        <is>
          <t>Prioridade até completar a meta</t>
        </is>
      </c>
    </row>
    <row r="8">
      <c r="A8" s="13" t="inlineStr">
        <is>
          <t>Parcela do carro</t>
        </is>
      </c>
      <c r="B8" s="28" t="n">
        <v>1400</v>
      </c>
      <c r="C8" s="13" t="inlineStr">
        <is>
          <t>Maior peso além da moradia</t>
        </is>
      </c>
    </row>
    <row r="9">
      <c r="A9" s="13" t="inlineStr">
        <is>
          <t>Parcelas restantes do carro</t>
        </is>
      </c>
      <c r="B9" s="38" t="n">
        <v>57</v>
      </c>
      <c r="C9" s="13" t="inlineStr">
        <is>
          <t>Avaliar amortização após reserva</t>
        </is>
      </c>
    </row>
    <row r="10">
      <c r="A10" s="13" t="inlineStr">
        <is>
          <t>Parcela da casa</t>
        </is>
      </c>
      <c r="B10" s="28" t="n">
        <v>1700</v>
      </c>
      <c r="C10" s="13" t="inlineStr">
        <is>
          <t>Não priorizar quitação agora</t>
        </is>
      </c>
    </row>
    <row r="11">
      <c r="A11" s="13" t="inlineStr">
        <is>
          <t>Parcelas restantes da casa</t>
        </is>
      </c>
      <c r="B11" s="38" t="n">
        <v>420</v>
      </c>
      <c r="C11" s="13" t="inlineStr">
        <is>
          <t>Longo prazo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2" customWidth="1" min="3" max="3"/>
  </cols>
  <sheetData>
    <row r="1">
      <c r="A1" s="1" t="inlineStr">
        <is>
          <t>COMANDOS DO TELEGRAM</t>
        </is>
      </c>
    </row>
    <row r="3">
      <c r="A3" s="12" t="inlineStr">
        <is>
          <t>Comando</t>
        </is>
      </c>
      <c r="B3" s="12" t="inlineStr">
        <is>
          <t>Exemplo</t>
        </is>
      </c>
      <c r="C3" s="12" t="inlineStr">
        <is>
          <t>Resposta esperada</t>
        </is>
      </c>
    </row>
    <row r="4">
      <c r="A4" s="13" t="inlineStr">
        <is>
          <t>Lançar gasto</t>
        </is>
      </c>
      <c r="B4" s="13" t="inlineStr">
        <is>
          <t>/gasto gasolina 120 shell</t>
        </is>
      </c>
      <c r="C4" s="13" t="inlineStr">
        <is>
          <t>Lança em Combustível e devolve saldo da categoria</t>
        </is>
      </c>
    </row>
    <row r="5">
      <c r="A5" s="13" t="inlineStr">
        <is>
          <t>Mensagem simples</t>
        </is>
      </c>
      <c r="B5" s="13" t="inlineStr">
        <is>
          <t>gasolina 120</t>
        </is>
      </c>
      <c r="C5" s="13" t="inlineStr">
        <is>
          <t>Lança gasto com sintaxe curta</t>
        </is>
      </c>
    </row>
    <row r="6">
      <c r="A6" s="13" t="inlineStr">
        <is>
          <t>Lançar receita</t>
        </is>
      </c>
      <c r="B6" s="13" t="inlineStr">
        <is>
          <t>/receita extra 500 freela</t>
        </is>
      </c>
      <c r="C6" s="13" t="inlineStr">
        <is>
          <t>Registra entrada extraordinária</t>
        </is>
      </c>
    </row>
    <row r="7">
      <c r="A7" s="13" t="inlineStr">
        <is>
          <t>Ver status geral</t>
        </is>
      </c>
      <c r="B7" s="13" t="inlineStr">
        <is>
          <t>/status</t>
        </is>
      </c>
      <c r="C7" s="13" t="inlineStr">
        <is>
          <t>Mostra gasto total, saldo e alertas</t>
        </is>
      </c>
    </row>
    <row r="8">
      <c r="A8" s="13" t="inlineStr">
        <is>
          <t>Ver categoria</t>
        </is>
      </c>
      <c r="B8" s="13" t="inlineStr">
        <is>
          <t>/status carro</t>
        </is>
      </c>
      <c r="C8" s="13" t="inlineStr">
        <is>
          <t>Mostra gasto e saldo do orçamento da categoria</t>
        </is>
      </c>
    </row>
    <row r="9">
      <c r="A9" s="13" t="inlineStr">
        <is>
          <t>Limites</t>
        </is>
      </c>
      <c r="B9" s="13" t="inlineStr">
        <is>
          <t>/limites</t>
        </is>
      </c>
      <c r="C9" s="13" t="inlineStr">
        <is>
          <t>Lista todas as categorias com limite e saldo</t>
        </is>
      </c>
    </row>
    <row r="10">
      <c r="A10" s="13" t="inlineStr">
        <is>
          <t>Contas próximas</t>
        </is>
      </c>
      <c r="B10" s="13" t="inlineStr">
        <is>
          <t>/contas</t>
        </is>
      </c>
      <c r="C10" s="13" t="inlineStr">
        <is>
          <t>Lista vencimentos próximos</t>
        </is>
      </c>
    </row>
    <row r="11">
      <c r="A11" s="13" t="inlineStr">
        <is>
          <t>Marcar conta paga</t>
        </is>
      </c>
      <c r="B11" s="13" t="inlineStr">
        <is>
          <t>/pagar internet e celular</t>
        </is>
      </c>
      <c r="C11" s="13" t="inlineStr">
        <is>
          <t>Registra a conta como paga</t>
        </is>
      </c>
    </row>
    <row r="12">
      <c r="A12" s="13" t="inlineStr">
        <is>
          <t>Ajuda</t>
        </is>
      </c>
      <c r="B12" s="13" t="inlineStr">
        <is>
          <t>/ajuda</t>
        </is>
      </c>
      <c r="C12" s="13" t="inlineStr">
        <is>
          <t>Mostra o menu do bot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6" customWidth="1" min="3" max="3"/>
  </cols>
  <sheetData>
    <row r="1">
      <c r="A1" s="1" t="inlineStr">
        <is>
          <t>CONFIGURAÇÕES BASE</t>
        </is>
      </c>
    </row>
    <row r="3">
      <c r="A3" s="12" t="inlineStr">
        <is>
          <t>Chave</t>
        </is>
      </c>
      <c r="B3" s="12" t="inlineStr">
        <is>
          <t>Valor</t>
        </is>
      </c>
      <c r="C3" s="12" t="inlineStr">
        <is>
          <t>Observação</t>
        </is>
      </c>
    </row>
    <row r="4">
      <c r="A4" s="13" t="inlineStr">
        <is>
          <t>nome_projeto</t>
        </is>
      </c>
      <c r="B4" s="13" t="inlineStr">
        <is>
          <t>Financeiro Telegram Premium</t>
        </is>
      </c>
      <c r="C4" s="13" t="inlineStr">
        <is>
          <t>Nome do sistema</t>
        </is>
      </c>
    </row>
    <row r="5">
      <c r="A5" s="13" t="inlineStr">
        <is>
          <t>moeda</t>
        </is>
      </c>
      <c r="B5" s="13" t="inlineStr">
        <is>
          <t>BRL</t>
        </is>
      </c>
      <c r="C5" s="13" t="inlineStr">
        <is>
          <t>Padrão monetário</t>
        </is>
      </c>
    </row>
    <row r="6">
      <c r="A6" s="13" t="inlineStr">
        <is>
          <t>renda_liquida_base</t>
        </is>
      </c>
      <c r="B6" s="28" t="n">
        <v>5300</v>
      </c>
      <c r="C6" s="13" t="inlineStr">
        <is>
          <t>Estimativa mensal do casal</t>
        </is>
      </c>
    </row>
    <row r="7">
      <c r="A7" s="13" t="inlineStr">
        <is>
          <t>beneficio_alimentacao</t>
        </is>
      </c>
      <c r="B7" s="28" t="n">
        <v>1400</v>
      </c>
      <c r="C7" s="13" t="inlineStr">
        <is>
          <t>Não entra como caixa do mês</t>
        </is>
      </c>
    </row>
    <row r="8">
      <c r="A8" s="13" t="inlineStr">
        <is>
          <t>dias_alerta_contas</t>
        </is>
      </c>
      <c r="B8" s="38" t="n">
        <v>5</v>
      </c>
      <c r="C8" s="13" t="inlineStr">
        <is>
          <t>Antecedência dos avisos</t>
        </is>
      </c>
    </row>
    <row r="9">
      <c r="A9" s="13" t="inlineStr">
        <is>
          <t>chat_id_padrao</t>
        </is>
      </c>
      <c r="B9" s="13" t="inlineStr"/>
      <c r="C9" s="13" t="inlineStr">
        <is>
          <t>Preencher após descobrir o chat do Telegram</t>
        </is>
      </c>
    </row>
    <row r="10">
      <c r="A10" s="13" t="inlineStr">
        <is>
          <t>bot_nome</t>
        </is>
      </c>
      <c r="B10" s="13" t="inlineStr">
        <is>
          <t>Seu Controle Financeiro</t>
        </is>
      </c>
      <c r="C10" s="13" t="inlineStr">
        <is>
          <t>Texto livre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2026-04-17T18:00:40Z</dcterms:created>
  <dcterms:modified xmlns:dcterms="http://purl.org/dc/terms/" xmlns:xsi="http://www.w3.org/2001/XMLSchema-instance" xsi:type="dcterms:W3CDTF">2026-04-17T18:04:27Z</dcterms:modified>
</cp:coreProperties>
</file>